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zj123\Desktop\"/>
    </mc:Choice>
  </mc:AlternateContent>
  <bookViews>
    <workbookView xWindow="-105" yWindow="-105" windowWidth="23250" windowHeight="12570" activeTab="3"/>
  </bookViews>
  <sheets>
    <sheet name="IRS Swap" sheetId="3" r:id="rId1"/>
    <sheet name="fixed rate" sheetId="1" r:id="rId2"/>
    <sheet name="Interest rate risk" sheetId="2" r:id="rId3"/>
    <sheet name="PnL" sheetId="4" r:id="rId4"/>
    <sheet name="data" sheetId="5" r:id="rId5"/>
  </sheets>
  <definedNames>
    <definedName name="solver_adj" localSheetId="2" hidden="1">'Interest rate risk'!$G$8</definedName>
    <definedName name="solver_cvg" localSheetId="2" hidden="1">0.0001</definedName>
    <definedName name="solver_drv" localSheetId="2" hidden="1">1</definedName>
    <definedName name="solver_eng" localSheetId="2" hidden="1">2</definedName>
    <definedName name="solver_est" localSheetId="2" hidden="1">1</definedName>
    <definedName name="solver_itr" localSheetId="2" hidden="1">2147483647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2" hidden="1">1</definedName>
    <definedName name="solver_nod" localSheetId="2" hidden="1">2147483647</definedName>
    <definedName name="solver_num" localSheetId="2" hidden="1">0</definedName>
    <definedName name="solver_nwt" localSheetId="2" hidden="1">1</definedName>
    <definedName name="solver_opt" localSheetId="2" hidden="1">'Interest rate risk'!$J$9</definedName>
    <definedName name="solver_pre" localSheetId="2" hidden="1">0.000001</definedName>
    <definedName name="solver_rbv" localSheetId="2" hidden="1">1</definedName>
    <definedName name="solver_rlx" localSheetId="2" hidden="1">2</definedName>
    <definedName name="solver_rsd" localSheetId="2" hidden="1">0</definedName>
    <definedName name="solver_scl" localSheetId="2" hidden="1">1</definedName>
    <definedName name="solver_sho" localSheetId="2" hidden="1">2</definedName>
    <definedName name="solver_ssz" localSheetId="2" hidden="1">100</definedName>
    <definedName name="solver_tim" localSheetId="2" hidden="1">2147483647</definedName>
    <definedName name="solver_tol" localSheetId="2" hidden="1">0.01</definedName>
    <definedName name="solver_typ" localSheetId="2" hidden="1">3</definedName>
    <definedName name="solver_val" localSheetId="2" hidden="1">0</definedName>
    <definedName name="solver_ver" localSheetId="2" hidden="1">3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54" i="4" l="1"/>
  <c r="K38" i="4"/>
  <c r="K53" i="4"/>
  <c r="N51" i="4"/>
  <c r="K51" i="4"/>
  <c r="G47" i="4"/>
  <c r="G48" i="4"/>
  <c r="G49" i="4"/>
  <c r="G50" i="4"/>
  <c r="G51" i="4"/>
  <c r="G52" i="4"/>
  <c r="G53" i="4"/>
  <c r="G54" i="4"/>
  <c r="G55" i="4"/>
  <c r="G56" i="4"/>
  <c r="G57" i="4"/>
  <c r="G46" i="4"/>
  <c r="F47" i="4"/>
  <c r="F48" i="4"/>
  <c r="F49" i="4"/>
  <c r="F50" i="4"/>
  <c r="F51" i="4"/>
  <c r="F52" i="4"/>
  <c r="F53" i="4"/>
  <c r="F54" i="4"/>
  <c r="F55" i="4"/>
  <c r="F56" i="4"/>
  <c r="F57" i="4"/>
  <c r="F46" i="4"/>
  <c r="G31" i="4"/>
  <c r="G32" i="4"/>
  <c r="G33" i="4"/>
  <c r="G34" i="4"/>
  <c r="G35" i="4"/>
  <c r="G36" i="4"/>
  <c r="G37" i="4"/>
  <c r="G38" i="4"/>
  <c r="G39" i="4"/>
  <c r="G40" i="4"/>
  <c r="G41" i="4"/>
  <c r="G30" i="4"/>
  <c r="K35" i="4"/>
  <c r="F31" i="4"/>
  <c r="F32" i="4"/>
  <c r="F33" i="4"/>
  <c r="F34" i="4"/>
  <c r="F35" i="4"/>
  <c r="F36" i="4"/>
  <c r="F37" i="4"/>
  <c r="F38" i="4"/>
  <c r="F39" i="4"/>
  <c r="F40" i="4"/>
  <c r="F41" i="4"/>
  <c r="F30" i="4"/>
  <c r="N35" i="4" l="1"/>
  <c r="K37" i="4" s="1"/>
  <c r="J22" i="1"/>
  <c r="J17" i="1"/>
  <c r="J14" i="1"/>
  <c r="J15" i="1"/>
  <c r="J16" i="1"/>
  <c r="J18" i="1"/>
  <c r="J19" i="1"/>
  <c r="J20" i="1"/>
  <c r="J21" i="1"/>
  <c r="J23" i="1"/>
  <c r="J24" i="1"/>
  <c r="J25" i="1"/>
  <c r="J13" i="1"/>
  <c r="I14" i="1"/>
  <c r="I15" i="1"/>
  <c r="I16" i="1"/>
  <c r="I17" i="1"/>
  <c r="I18" i="1"/>
  <c r="I19" i="1"/>
  <c r="I20" i="1"/>
  <c r="I21" i="1"/>
  <c r="I22" i="1"/>
  <c r="I23" i="1"/>
  <c r="I24" i="1"/>
  <c r="I25" i="1"/>
  <c r="I13" i="1"/>
  <c r="F15" i="4" l="1"/>
  <c r="F16" i="4"/>
  <c r="F17" i="4"/>
  <c r="F18" i="4"/>
  <c r="F19" i="4"/>
  <c r="F20" i="4"/>
  <c r="F21" i="4"/>
  <c r="F22" i="4"/>
  <c r="F23" i="4"/>
  <c r="F24" i="4"/>
  <c r="F25" i="4"/>
  <c r="F14" i="4"/>
  <c r="G9" i="4"/>
  <c r="G8" i="4" s="1"/>
  <c r="I15" i="2"/>
  <c r="I16" i="2"/>
  <c r="I17" i="2"/>
  <c r="I18" i="2"/>
  <c r="I19" i="2"/>
  <c r="I20" i="2"/>
  <c r="I21" i="2"/>
  <c r="I22" i="2"/>
  <c r="I23" i="2"/>
  <c r="I24" i="2"/>
  <c r="I25" i="2"/>
  <c r="I14" i="2"/>
  <c r="F14" i="2" s="1"/>
  <c r="G8" i="2"/>
  <c r="G14" i="1"/>
  <c r="F14" i="1"/>
  <c r="G8" i="1"/>
  <c r="F15" i="2"/>
  <c r="F16" i="2"/>
  <c r="F17" i="2"/>
  <c r="F18" i="2"/>
  <c r="F19" i="2"/>
  <c r="F20" i="2"/>
  <c r="F21" i="2"/>
  <c r="F22" i="2"/>
  <c r="F23" i="2"/>
  <c r="F24" i="2"/>
  <c r="F25" i="2"/>
  <c r="J15" i="2"/>
  <c r="J16" i="2"/>
  <c r="J17" i="2"/>
  <c r="J18" i="2"/>
  <c r="J19" i="2"/>
  <c r="J20" i="2"/>
  <c r="J21" i="2"/>
  <c r="J22" i="2"/>
  <c r="J23" i="2"/>
  <c r="J24" i="2"/>
  <c r="J25" i="2"/>
  <c r="J14" i="2"/>
  <c r="G25" i="3"/>
  <c r="F25" i="3"/>
  <c r="G24" i="3"/>
  <c r="F24" i="3"/>
  <c r="G23" i="3"/>
  <c r="F23" i="3"/>
  <c r="G22" i="3"/>
  <c r="F22" i="3"/>
  <c r="G21" i="3"/>
  <c r="F21" i="3"/>
  <c r="G20" i="3"/>
  <c r="F20" i="3"/>
  <c r="G19" i="3"/>
  <c r="F19" i="3"/>
  <c r="G18" i="3"/>
  <c r="F18" i="3"/>
  <c r="G17" i="3"/>
  <c r="F17" i="3"/>
  <c r="G16" i="3"/>
  <c r="F16" i="3"/>
  <c r="G15" i="3"/>
  <c r="F15" i="3"/>
  <c r="G14" i="3"/>
  <c r="F14" i="3"/>
  <c r="G9" i="3"/>
  <c r="D9" i="3"/>
  <c r="J9" i="3" s="1"/>
  <c r="F25" i="1"/>
  <c r="F24" i="1"/>
  <c r="F23" i="1"/>
  <c r="F22" i="1"/>
  <c r="F21" i="1"/>
  <c r="F20" i="1"/>
  <c r="F19" i="1"/>
  <c r="F18" i="1"/>
  <c r="F17" i="1"/>
  <c r="F16" i="1"/>
  <c r="F15" i="1"/>
  <c r="D9" i="1"/>
  <c r="D9" i="4" l="1"/>
  <c r="D9" i="2"/>
  <c r="G24" i="1" l="1"/>
  <c r="G25" i="1"/>
  <c r="G16" i="1"/>
  <c r="G17" i="1"/>
  <c r="G21" i="1"/>
  <c r="G18" i="1"/>
  <c r="G22" i="1"/>
  <c r="G15" i="1"/>
  <c r="G19" i="1"/>
  <c r="G23" i="1"/>
  <c r="G20" i="1"/>
  <c r="G9" i="1"/>
  <c r="J9" i="1" s="1"/>
  <c r="G9" i="2"/>
  <c r="J9" i="2" s="1"/>
</calcChain>
</file>

<file path=xl/sharedStrings.xml><?xml version="1.0" encoding="utf-8"?>
<sst xmlns="http://schemas.openxmlformats.org/spreadsheetml/2006/main" count="120" uniqueCount="37">
  <si>
    <t>3Y Interest Rate Swap</t>
  </si>
  <si>
    <t>Notional</t>
  </si>
  <si>
    <t>Day Count Fraction</t>
  </si>
  <si>
    <t>Floating Leg</t>
  </si>
  <si>
    <t>Fixed Leg</t>
  </si>
  <si>
    <t>Floating Leg Rate</t>
  </si>
  <si>
    <t>Libor 3M</t>
  </si>
  <si>
    <t>Fixed Rate</t>
  </si>
  <si>
    <t>Fixed Payer</t>
  </si>
  <si>
    <t>Floating Leg PV</t>
  </si>
  <si>
    <t>Fixed Leg PV</t>
  </si>
  <si>
    <t>NPV=</t>
  </si>
  <si>
    <t>Time Period</t>
  </si>
  <si>
    <t>Floating Rate (Libor 3M)</t>
  </si>
  <si>
    <t>Floating Cash Flow</t>
  </si>
  <si>
    <t>Fixed Cash Flow</t>
  </si>
  <si>
    <t>Discount Factor (OIS)</t>
  </si>
  <si>
    <t>Tasks:</t>
  </si>
  <si>
    <t>Please read Chapter 4, Chapter 7, and understand Swap and Bond models.</t>
  </si>
  <si>
    <t>Optional: read other chapters till Chapter 15 Black-Scholes-Merton model.</t>
  </si>
  <si>
    <t>Optional: implement Interest Rate Swap models to calculate NPV, Fixed Swap Rate, Interest Rate Risk, and PnL.</t>
  </si>
  <si>
    <t>（1）The NPV is known, calculate the fixed rate</t>
    <phoneticPr fontId="2" type="noConversion"/>
  </si>
  <si>
    <t>Floating Rate‘ (Libor 3M)</t>
    <phoneticPr fontId="2" type="noConversion"/>
  </si>
  <si>
    <t>Floating Rate‘ ’(Libor 3M)</t>
    <phoneticPr fontId="2" type="noConversion"/>
  </si>
  <si>
    <t>Conclusion：The NPV would change by 299 if the floating rate(Libor 3M) is changed by 1 pips.</t>
    <phoneticPr fontId="2" type="noConversion"/>
  </si>
  <si>
    <t>（2）The interest rate risk</t>
    <phoneticPr fontId="2" type="noConversion"/>
  </si>
  <si>
    <t>(3) PnL</t>
    <phoneticPr fontId="2" type="noConversion"/>
  </si>
  <si>
    <t>Weekday</t>
    <phoneticPr fontId="2" type="noConversion"/>
  </si>
  <si>
    <t>Actual Transaction Day</t>
    <phoneticPr fontId="2" type="noConversion"/>
  </si>
  <si>
    <t>Actual/360</t>
  </si>
  <si>
    <t>Actual/360</t>
    <phoneticPr fontId="2" type="noConversion"/>
  </si>
  <si>
    <t>NPV=</t>
    <phoneticPr fontId="2" type="noConversion"/>
  </si>
  <si>
    <t>Position=</t>
    <phoneticPr fontId="2" type="noConversion"/>
  </si>
  <si>
    <t>NPV=</t>
    <phoneticPr fontId="2" type="noConversion"/>
  </si>
  <si>
    <t>Position=</t>
    <phoneticPr fontId="2" type="noConversion"/>
  </si>
  <si>
    <t>Date</t>
    <phoneticPr fontId="2" type="noConversion"/>
  </si>
  <si>
    <t>float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</si>
</sst>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76" formatCode="_(* #,##0.00_);_(* \(#,##0.00\);_(* &quot;-&quot;??_);_(@_)"/>
    <numFmt numFmtId="177" formatCode="[$-409]d\-mmm\-yyyy;@"/>
    <numFmt numFmtId="178" formatCode="_(* #,##0_);_(* \(#,##0\);_(* &quot;-&quot;??_);_(@_)"/>
    <numFmt numFmtId="179" formatCode="0.0000"/>
    <numFmt numFmtId="180" formatCode="0.00000000_);[Red]\(0.00000000\)"/>
    <numFmt numFmtId="181" formatCode="0.0000_ "/>
  </numFmts>
  <fonts count="9" x14ac:knownFonts="1"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2"/>
      <color theme="1"/>
      <name val="等线"/>
      <family val="2"/>
      <scheme val="minor"/>
    </font>
    <font>
      <sz val="12"/>
      <color theme="1"/>
      <name val="等线"/>
      <family val="3"/>
      <charset val="134"/>
      <scheme val="minor"/>
    </font>
    <font>
      <sz val="14"/>
      <color theme="1"/>
      <name val="等线"/>
      <family val="2"/>
      <scheme val="minor"/>
    </font>
    <font>
      <sz val="14"/>
      <color theme="1"/>
      <name val="等线"/>
      <family val="3"/>
      <charset val="134"/>
      <scheme val="minor"/>
    </font>
    <font>
      <sz val="15"/>
      <color theme="1"/>
      <name val="等线"/>
      <family val="2"/>
      <scheme val="minor"/>
    </font>
    <font>
      <b/>
      <sz val="11"/>
      <color rgb="FF000000"/>
      <name val="等线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176" fontId="1" fillId="0" borderId="0" applyFont="0" applyFill="0" applyBorder="0" applyAlignment="0" applyProtection="0"/>
  </cellStyleXfs>
  <cellXfs count="74">
    <xf numFmtId="0" fontId="0" fillId="0" borderId="0" xfId="0"/>
    <xf numFmtId="177" fontId="0" fillId="0" borderId="0" xfId="0" applyNumberFormat="1"/>
    <xf numFmtId="177" fontId="0" fillId="0" borderId="1" xfId="0" applyNumberFormat="1" applyBorder="1"/>
    <xf numFmtId="0" fontId="0" fillId="0" borderId="2" xfId="0" applyBorder="1"/>
    <xf numFmtId="0" fontId="0" fillId="0" borderId="3" xfId="0" applyBorder="1"/>
    <xf numFmtId="177" fontId="0" fillId="0" borderId="4" xfId="0" applyNumberFormat="1" applyBorder="1"/>
    <xf numFmtId="0" fontId="0" fillId="0" borderId="5" xfId="0" applyBorder="1"/>
    <xf numFmtId="178" fontId="0" fillId="0" borderId="0" xfId="1" applyNumberFormat="1" applyFont="1" applyBorder="1"/>
    <xf numFmtId="0" fontId="0" fillId="2" borderId="5" xfId="0" applyFill="1" applyBorder="1"/>
    <xf numFmtId="177" fontId="0" fillId="0" borderId="6" xfId="0" applyNumberFormat="1" applyBorder="1"/>
    <xf numFmtId="178" fontId="0" fillId="0" borderId="7" xfId="1" applyNumberFormat="1" applyFont="1" applyBorder="1"/>
    <xf numFmtId="0" fontId="0" fillId="0" borderId="7" xfId="0" applyBorder="1"/>
    <xf numFmtId="178" fontId="0" fillId="0" borderId="8" xfId="1" applyNumberFormat="1" applyFont="1" applyBorder="1"/>
    <xf numFmtId="3" fontId="0" fillId="0" borderId="0" xfId="1" applyNumberFormat="1" applyFont="1"/>
    <xf numFmtId="178" fontId="0" fillId="0" borderId="0" xfId="1" applyNumberFormat="1" applyFont="1"/>
    <xf numFmtId="177" fontId="0" fillId="0" borderId="1" xfId="0" applyNumberFormat="1" applyBorder="1" applyAlignment="1">
      <alignment wrapText="1"/>
    </xf>
    <xf numFmtId="0" fontId="0" fillId="0" borderId="2" xfId="0" applyBorder="1" applyAlignment="1">
      <alignment wrapText="1"/>
    </xf>
    <xf numFmtId="0" fontId="0" fillId="0" borderId="3" xfId="0" applyBorder="1" applyAlignment="1">
      <alignment wrapText="1"/>
    </xf>
    <xf numFmtId="0" fontId="0" fillId="0" borderId="0" xfId="0" applyAlignment="1">
      <alignment wrapText="1"/>
    </xf>
    <xf numFmtId="179" fontId="0" fillId="0" borderId="0" xfId="0" applyNumberFormat="1"/>
    <xf numFmtId="178" fontId="0" fillId="0" borderId="0" xfId="0" applyNumberFormat="1"/>
    <xf numFmtId="179" fontId="0" fillId="0" borderId="5" xfId="0" applyNumberFormat="1" applyBorder="1"/>
    <xf numFmtId="179" fontId="0" fillId="0" borderId="7" xfId="0" applyNumberFormat="1" applyBorder="1"/>
    <xf numFmtId="178" fontId="0" fillId="0" borderId="7" xfId="0" applyNumberFormat="1" applyBorder="1"/>
    <xf numFmtId="179" fontId="0" fillId="0" borderId="8" xfId="0" applyNumberFormat="1" applyBorder="1"/>
    <xf numFmtId="177" fontId="0" fillId="0" borderId="4" xfId="0" applyNumberFormat="1" applyBorder="1" applyAlignment="1">
      <alignment wrapText="1"/>
    </xf>
    <xf numFmtId="0" fontId="0" fillId="0" borderId="0" xfId="0" applyBorder="1" applyAlignment="1">
      <alignment wrapText="1"/>
    </xf>
    <xf numFmtId="0" fontId="0" fillId="0" borderId="5" xfId="0" applyBorder="1" applyAlignment="1">
      <alignment wrapText="1"/>
    </xf>
    <xf numFmtId="3" fontId="0" fillId="2" borderId="0" xfId="1" applyNumberFormat="1" applyFont="1" applyFill="1"/>
    <xf numFmtId="180" fontId="0" fillId="2" borderId="5" xfId="0" applyNumberFormat="1" applyFill="1" applyBorder="1"/>
    <xf numFmtId="0" fontId="3" fillId="0" borderId="0" xfId="0" applyFont="1"/>
    <xf numFmtId="177" fontId="4" fillId="0" borderId="0" xfId="0" applyNumberFormat="1" applyFont="1"/>
    <xf numFmtId="0" fontId="5" fillId="0" borderId="0" xfId="0" applyFont="1"/>
    <xf numFmtId="177" fontId="6" fillId="0" borderId="0" xfId="0" applyNumberFormat="1" applyFont="1"/>
    <xf numFmtId="177" fontId="0" fillId="0" borderId="9" xfId="0" applyNumberFormat="1" applyBorder="1" applyAlignment="1">
      <alignment wrapText="1"/>
    </xf>
    <xf numFmtId="0" fontId="0" fillId="0" borderId="10" xfId="0" applyBorder="1" applyAlignment="1">
      <alignment wrapText="1"/>
    </xf>
    <xf numFmtId="0" fontId="0" fillId="0" borderId="11" xfId="0" applyBorder="1" applyAlignment="1">
      <alignment wrapText="1"/>
    </xf>
    <xf numFmtId="0" fontId="0" fillId="3" borderId="10" xfId="0" applyFill="1" applyBorder="1" applyAlignment="1">
      <alignment wrapText="1"/>
    </xf>
    <xf numFmtId="0" fontId="0" fillId="0" borderId="12" xfId="0" applyBorder="1" applyAlignment="1">
      <alignment wrapText="1"/>
    </xf>
    <xf numFmtId="177" fontId="0" fillId="0" borderId="13" xfId="0" applyNumberFormat="1" applyBorder="1" applyAlignment="1">
      <alignment wrapText="1"/>
    </xf>
    <xf numFmtId="0" fontId="0" fillId="0" borderId="14" xfId="0" applyBorder="1" applyAlignment="1">
      <alignment wrapText="1"/>
    </xf>
    <xf numFmtId="177" fontId="0" fillId="0" borderId="13" xfId="0" applyNumberFormat="1" applyBorder="1"/>
    <xf numFmtId="0" fontId="0" fillId="0" borderId="0" xfId="0" applyBorder="1"/>
    <xf numFmtId="179" fontId="0" fillId="0" borderId="0" xfId="0" applyNumberFormat="1" applyBorder="1"/>
    <xf numFmtId="178" fontId="0" fillId="0" borderId="0" xfId="0" applyNumberFormat="1" applyBorder="1"/>
    <xf numFmtId="181" fontId="0" fillId="0" borderId="0" xfId="0" applyNumberFormat="1" applyBorder="1"/>
    <xf numFmtId="181" fontId="0" fillId="0" borderId="14" xfId="0" applyNumberFormat="1" applyBorder="1"/>
    <xf numFmtId="177" fontId="0" fillId="0" borderId="15" xfId="0" applyNumberFormat="1" applyBorder="1"/>
    <xf numFmtId="0" fontId="0" fillId="0" borderId="16" xfId="0" applyBorder="1"/>
    <xf numFmtId="179" fontId="0" fillId="0" borderId="16" xfId="0" applyNumberFormat="1" applyBorder="1"/>
    <xf numFmtId="178" fontId="0" fillId="0" borderId="16" xfId="0" applyNumberFormat="1" applyBorder="1"/>
    <xf numFmtId="179" fontId="0" fillId="0" borderId="17" xfId="0" applyNumberFormat="1" applyBorder="1"/>
    <xf numFmtId="181" fontId="0" fillId="0" borderId="16" xfId="0" applyNumberFormat="1" applyBorder="1"/>
    <xf numFmtId="181" fontId="0" fillId="0" borderId="18" xfId="0" applyNumberFormat="1" applyBorder="1"/>
    <xf numFmtId="1" fontId="0" fillId="0" borderId="0" xfId="0" applyNumberFormat="1" applyBorder="1"/>
    <xf numFmtId="178" fontId="0" fillId="0" borderId="0" xfId="0" applyNumberFormat="1" applyFill="1" applyBorder="1"/>
    <xf numFmtId="179" fontId="0" fillId="0" borderId="0" xfId="0" applyNumberFormat="1" applyFill="1" applyBorder="1"/>
    <xf numFmtId="177" fontId="0" fillId="0" borderId="5" xfId="0" applyNumberFormat="1" applyBorder="1"/>
    <xf numFmtId="177" fontId="0" fillId="0" borderId="8" xfId="0" applyNumberFormat="1" applyBorder="1"/>
    <xf numFmtId="0" fontId="0" fillId="0" borderId="4" xfId="0" applyBorder="1" applyAlignment="1">
      <alignment wrapText="1"/>
    </xf>
    <xf numFmtId="0" fontId="0" fillId="0" borderId="6" xfId="0" applyBorder="1" applyAlignment="1">
      <alignment wrapText="1"/>
    </xf>
    <xf numFmtId="0" fontId="0" fillId="0" borderId="1" xfId="0" applyBorder="1" applyAlignment="1">
      <alignment wrapText="1"/>
    </xf>
    <xf numFmtId="177" fontId="0" fillId="0" borderId="3" xfId="0" applyNumberFormat="1" applyBorder="1" applyAlignment="1">
      <alignment wrapText="1"/>
    </xf>
    <xf numFmtId="0" fontId="7" fillId="0" borderId="0" xfId="0" applyFont="1"/>
    <xf numFmtId="0" fontId="0" fillId="0" borderId="4" xfId="0" applyBorder="1"/>
    <xf numFmtId="1" fontId="0" fillId="0" borderId="4" xfId="0" applyNumberFormat="1" applyBorder="1"/>
    <xf numFmtId="0" fontId="0" fillId="0" borderId="0" xfId="0" applyFill="1" applyBorder="1" applyAlignment="1">
      <alignment wrapText="1"/>
    </xf>
    <xf numFmtId="0" fontId="0" fillId="0" borderId="0" xfId="0" applyAlignment="1">
      <alignment horizontal="right"/>
    </xf>
    <xf numFmtId="177" fontId="0" fillId="0" borderId="0" xfId="0" applyNumberFormat="1" applyFill="1" applyBorder="1"/>
    <xf numFmtId="179" fontId="0" fillId="0" borderId="14" xfId="0" applyNumberFormat="1" applyBorder="1"/>
    <xf numFmtId="179" fontId="0" fillId="0" borderId="18" xfId="0" applyNumberFormat="1" applyBorder="1"/>
    <xf numFmtId="178" fontId="0" fillId="2" borderId="0" xfId="0" applyNumberFormat="1" applyFill="1"/>
    <xf numFmtId="0" fontId="0" fillId="2" borderId="0" xfId="0" applyFill="1"/>
    <xf numFmtId="177" fontId="0" fillId="3" borderId="13" xfId="0" applyNumberFormat="1" applyFill="1" applyBorder="1" applyAlignment="1">
      <alignment wrapText="1"/>
    </xf>
  </cellXfs>
  <cellStyles count="2">
    <cellStyle name="常规" xfId="0" builtinId="0"/>
    <cellStyle name="千位分隔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885825</xdr:colOff>
          <xdr:row>26</xdr:row>
          <xdr:rowOff>19050</xdr:rowOff>
        </xdr:from>
        <xdr:to>
          <xdr:col>6</xdr:col>
          <xdr:colOff>895350</xdr:colOff>
          <xdr:row>27</xdr:row>
          <xdr:rowOff>133350</xdr:rowOff>
        </xdr:to>
        <xdr:sp macro="" textlink="">
          <xdr:nvSpPr>
            <xdr:cNvPr id="2049" name="Button 1" descr="Fixed Rate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Fixed Rate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32"/>
  <sheetViews>
    <sheetView topLeftCell="A7" zoomScale="120" zoomScaleNormal="120" workbookViewId="0">
      <selection activeCell="J9" sqref="J9"/>
    </sheetView>
  </sheetViews>
  <sheetFormatPr defaultRowHeight="14.25" x14ac:dyDescent="0.2"/>
  <cols>
    <col min="3" max="3" width="17.5" customWidth="1"/>
    <col min="4" max="4" width="12.75" customWidth="1"/>
    <col min="5" max="10" width="11.75" customWidth="1"/>
  </cols>
  <sheetData>
    <row r="1" spans="3:10" ht="15" thickBot="1" x14ac:dyDescent="0.25"/>
    <row r="2" spans="3:10" x14ac:dyDescent="0.2">
      <c r="C2" s="2" t="s">
        <v>0</v>
      </c>
      <c r="D2" s="3"/>
      <c r="E2" s="3"/>
      <c r="F2" s="3"/>
      <c r="G2" s="4"/>
    </row>
    <row r="3" spans="3:10" x14ac:dyDescent="0.2">
      <c r="C3" s="5"/>
      <c r="G3" s="6"/>
    </row>
    <row r="4" spans="3:10" x14ac:dyDescent="0.2">
      <c r="C4" s="5" t="s">
        <v>1</v>
      </c>
      <c r="D4" s="7">
        <v>1000000</v>
      </c>
      <c r="G4" s="6"/>
    </row>
    <row r="5" spans="3:10" x14ac:dyDescent="0.2">
      <c r="C5" s="5" t="s">
        <v>2</v>
      </c>
      <c r="D5">
        <v>0.25</v>
      </c>
      <c r="G5" s="6"/>
    </row>
    <row r="6" spans="3:10" x14ac:dyDescent="0.2">
      <c r="C6" s="5"/>
      <c r="G6" s="6"/>
    </row>
    <row r="7" spans="3:10" x14ac:dyDescent="0.2">
      <c r="C7" s="5" t="s">
        <v>3</v>
      </c>
      <c r="F7" t="s">
        <v>4</v>
      </c>
      <c r="G7" s="6"/>
    </row>
    <row r="8" spans="3:10" x14ac:dyDescent="0.2">
      <c r="C8" s="5" t="s">
        <v>5</v>
      </c>
      <c r="D8" t="s">
        <v>6</v>
      </c>
      <c r="F8" t="s">
        <v>7</v>
      </c>
      <c r="G8" s="8">
        <v>0.55582525594983967</v>
      </c>
      <c r="I8" t="s">
        <v>8</v>
      </c>
    </row>
    <row r="9" spans="3:10" ht="15" thickBot="1" x14ac:dyDescent="0.25">
      <c r="C9" s="9" t="s">
        <v>9</v>
      </c>
      <c r="D9" s="10">
        <f>SUMPRODUCT(F14:F25,H14:H25)</f>
        <v>16599.304399999997</v>
      </c>
      <c r="E9" s="11"/>
      <c r="F9" s="11" t="s">
        <v>10</v>
      </c>
      <c r="G9" s="12">
        <f>SUMPRODUCT(G14:G25,H14:H25)</f>
        <v>16599.304400000001</v>
      </c>
      <c r="I9" t="s">
        <v>11</v>
      </c>
      <c r="J9" s="28">
        <f>D9-G9</f>
        <v>0</v>
      </c>
    </row>
    <row r="10" spans="3:10" x14ac:dyDescent="0.2">
      <c r="C10" s="1"/>
      <c r="D10" s="14"/>
      <c r="G10" s="14"/>
      <c r="J10" s="13"/>
    </row>
    <row r="11" spans="3:10" ht="15" thickBot="1" x14ac:dyDescent="0.25">
      <c r="C11" s="1"/>
    </row>
    <row r="12" spans="3:10" ht="28.5" x14ac:dyDescent="0.2">
      <c r="C12" s="15"/>
      <c r="D12" s="16" t="s">
        <v>12</v>
      </c>
      <c r="E12" s="16" t="s">
        <v>13</v>
      </c>
      <c r="F12" s="16" t="s">
        <v>14</v>
      </c>
      <c r="G12" s="16" t="s">
        <v>15</v>
      </c>
      <c r="H12" s="17" t="s">
        <v>16</v>
      </c>
      <c r="I12" s="18"/>
      <c r="J12" s="18"/>
    </row>
    <row r="13" spans="3:10" x14ac:dyDescent="0.2">
      <c r="C13" s="25">
        <v>43902</v>
      </c>
      <c r="D13" s="26"/>
      <c r="E13" s="26"/>
      <c r="F13" s="26"/>
      <c r="G13" s="26"/>
      <c r="H13" s="27"/>
      <c r="I13" s="18"/>
      <c r="J13" s="18"/>
    </row>
    <row r="14" spans="3:10" x14ac:dyDescent="0.2">
      <c r="C14" s="5">
        <v>43994</v>
      </c>
      <c r="D14">
        <v>1</v>
      </c>
      <c r="E14" s="19">
        <v>0.78410000000000002</v>
      </c>
      <c r="F14" s="20">
        <f>$D$4*E14/100*$D$5</f>
        <v>1960.25</v>
      </c>
      <c r="G14" s="20">
        <f>$D$4*$G$8/100*$D$5</f>
        <v>1389.5631398745993</v>
      </c>
      <c r="H14" s="21">
        <v>0.99890000000000001</v>
      </c>
    </row>
    <row r="15" spans="3:10" x14ac:dyDescent="0.2">
      <c r="C15" s="5">
        <v>44088</v>
      </c>
      <c r="D15">
        <v>2</v>
      </c>
      <c r="E15" s="19">
        <v>0.48199999999999998</v>
      </c>
      <c r="F15" s="20">
        <f t="shared" ref="F15:F25" si="0">$D$4*E15/100*$D$5</f>
        <v>1205</v>
      </c>
      <c r="G15" s="20">
        <f t="shared" ref="G15:G25" si="1">$D$4*$G$8/100*$D$5</f>
        <v>1389.5631398745993</v>
      </c>
      <c r="H15" s="21">
        <v>0.99839999999999995</v>
      </c>
    </row>
    <row r="16" spans="3:10" x14ac:dyDescent="0.2">
      <c r="C16" s="5">
        <v>44179</v>
      </c>
      <c r="D16">
        <v>3</v>
      </c>
      <c r="E16" s="19">
        <v>0.44290000000000002</v>
      </c>
      <c r="F16" s="20">
        <f t="shared" si="0"/>
        <v>1107.25</v>
      </c>
      <c r="G16" s="20">
        <f t="shared" si="1"/>
        <v>1389.5631398745993</v>
      </c>
      <c r="H16" s="21">
        <v>0.998</v>
      </c>
    </row>
    <row r="17" spans="1:8" x14ac:dyDescent="0.2">
      <c r="C17" s="5">
        <v>44267</v>
      </c>
      <c r="D17">
        <v>3</v>
      </c>
      <c r="E17" s="19">
        <v>0.47349999999999998</v>
      </c>
      <c r="F17" s="20">
        <f t="shared" si="0"/>
        <v>1183.75</v>
      </c>
      <c r="G17" s="20">
        <f t="shared" si="1"/>
        <v>1389.5631398745993</v>
      </c>
      <c r="H17" s="21">
        <v>0.99760000000000004</v>
      </c>
    </row>
    <row r="18" spans="1:8" x14ac:dyDescent="0.2">
      <c r="C18" s="5">
        <v>44361</v>
      </c>
      <c r="D18">
        <v>5</v>
      </c>
      <c r="E18" s="19">
        <v>0.44369999999999998</v>
      </c>
      <c r="F18" s="20">
        <f t="shared" si="0"/>
        <v>1109.25</v>
      </c>
      <c r="G18" s="20">
        <f t="shared" si="1"/>
        <v>1389.5631398745993</v>
      </c>
      <c r="H18" s="21">
        <v>0.99690000000000001</v>
      </c>
    </row>
    <row r="19" spans="1:8" x14ac:dyDescent="0.2">
      <c r="C19" s="5">
        <v>44452</v>
      </c>
      <c r="D19">
        <v>6</v>
      </c>
      <c r="E19" s="19">
        <v>0.48459999999999998</v>
      </c>
      <c r="F19" s="20">
        <f t="shared" si="0"/>
        <v>1211.5</v>
      </c>
      <c r="G19" s="20">
        <f t="shared" si="1"/>
        <v>1389.5631398745993</v>
      </c>
      <c r="H19" s="21">
        <v>0.99629999999999996</v>
      </c>
    </row>
    <row r="20" spans="1:8" x14ac:dyDescent="0.2">
      <c r="C20" s="5">
        <v>44543</v>
      </c>
      <c r="D20">
        <v>7</v>
      </c>
      <c r="E20" s="19">
        <v>0.51380000000000003</v>
      </c>
      <c r="F20" s="20">
        <f t="shared" si="0"/>
        <v>1284.5000000000002</v>
      </c>
      <c r="G20" s="20">
        <f t="shared" si="1"/>
        <v>1389.5631398745993</v>
      </c>
      <c r="H20" s="21">
        <v>0.99550000000000005</v>
      </c>
    </row>
    <row r="21" spans="1:8" x14ac:dyDescent="0.2">
      <c r="C21" s="5">
        <v>44634</v>
      </c>
      <c r="D21">
        <v>8</v>
      </c>
      <c r="E21" s="19">
        <v>0.55500000000000005</v>
      </c>
      <c r="F21" s="20">
        <f t="shared" si="0"/>
        <v>1387.5</v>
      </c>
      <c r="G21" s="20">
        <f t="shared" si="1"/>
        <v>1389.5631398745993</v>
      </c>
      <c r="H21" s="21">
        <v>0.99480000000000002</v>
      </c>
    </row>
    <row r="22" spans="1:8" x14ac:dyDescent="0.2">
      <c r="C22" s="5">
        <v>43995</v>
      </c>
      <c r="D22">
        <v>9</v>
      </c>
      <c r="E22" s="19">
        <v>0.58560000000000001</v>
      </c>
      <c r="F22" s="20">
        <f t="shared" si="0"/>
        <v>1464</v>
      </c>
      <c r="G22" s="20">
        <f t="shared" si="1"/>
        <v>1389.5631398745993</v>
      </c>
      <c r="H22" s="21">
        <v>0.99380000000000002</v>
      </c>
    </row>
    <row r="23" spans="1:8" x14ac:dyDescent="0.2">
      <c r="C23" s="5">
        <v>44816</v>
      </c>
      <c r="D23">
        <v>10</v>
      </c>
      <c r="E23" s="19">
        <v>0.63290000000000002</v>
      </c>
      <c r="F23" s="20">
        <f t="shared" si="0"/>
        <v>1582.25</v>
      </c>
      <c r="G23" s="20">
        <f t="shared" si="1"/>
        <v>1389.5631398745993</v>
      </c>
      <c r="H23" s="21">
        <v>0.99280000000000002</v>
      </c>
    </row>
    <row r="24" spans="1:8" x14ac:dyDescent="0.2">
      <c r="C24" s="5">
        <v>44909</v>
      </c>
      <c r="D24">
        <v>11</v>
      </c>
      <c r="E24" s="19">
        <v>0.67420000000000002</v>
      </c>
      <c r="F24" s="20">
        <f t="shared" si="0"/>
        <v>1685.5</v>
      </c>
      <c r="G24" s="20">
        <f t="shared" si="1"/>
        <v>1389.5631398745993</v>
      </c>
      <c r="H24" s="21">
        <v>0.9919</v>
      </c>
    </row>
    <row r="25" spans="1:8" ht="15" thickBot="1" x14ac:dyDescent="0.25">
      <c r="C25" s="9">
        <v>44997</v>
      </c>
      <c r="D25" s="11">
        <v>12</v>
      </c>
      <c r="E25" s="22">
        <v>0.59860000000000002</v>
      </c>
      <c r="F25" s="23">
        <f t="shared" si="0"/>
        <v>1496.5</v>
      </c>
      <c r="G25" s="23">
        <f t="shared" si="1"/>
        <v>1389.5631398745993</v>
      </c>
      <c r="H25" s="24">
        <v>0.99080000000000001</v>
      </c>
    </row>
    <row r="28" spans="1:8" x14ac:dyDescent="0.2">
      <c r="A28" t="s">
        <v>17</v>
      </c>
      <c r="C28" s="1"/>
    </row>
    <row r="29" spans="1:8" x14ac:dyDescent="0.2">
      <c r="C29" s="1"/>
    </row>
    <row r="30" spans="1:8" x14ac:dyDescent="0.2">
      <c r="A30" t="s">
        <v>18</v>
      </c>
      <c r="C30" s="1"/>
    </row>
    <row r="31" spans="1:8" x14ac:dyDescent="0.2">
      <c r="A31" t="s">
        <v>19</v>
      </c>
      <c r="C31" s="1"/>
    </row>
    <row r="32" spans="1:8" x14ac:dyDescent="0.2">
      <c r="A32" t="s">
        <v>20</v>
      </c>
      <c r="C32" s="1"/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28"/>
  <sheetViews>
    <sheetView topLeftCell="A4" zoomScale="120" zoomScaleNormal="120" workbookViewId="0">
      <selection activeCell="D9" sqref="D9"/>
    </sheetView>
  </sheetViews>
  <sheetFormatPr defaultRowHeight="14.25" x14ac:dyDescent="0.2"/>
  <cols>
    <col min="3" max="3" width="17.5" customWidth="1"/>
    <col min="4" max="4" width="12.75" customWidth="1"/>
    <col min="5" max="10" width="11.75" customWidth="1"/>
  </cols>
  <sheetData>
    <row r="1" spans="1:10" s="32" customFormat="1" ht="18.75" thickBot="1" x14ac:dyDescent="0.3">
      <c r="A1" s="32" t="s">
        <v>21</v>
      </c>
    </row>
    <row r="2" spans="1:10" x14ac:dyDescent="0.2">
      <c r="C2" s="2" t="s">
        <v>0</v>
      </c>
      <c r="D2" s="3"/>
      <c r="E2" s="3"/>
      <c r="F2" s="3"/>
      <c r="G2" s="4"/>
    </row>
    <row r="3" spans="1:10" x14ac:dyDescent="0.2">
      <c r="C3" s="5"/>
      <c r="G3" s="6"/>
    </row>
    <row r="4" spans="1:10" x14ac:dyDescent="0.2">
      <c r="C4" s="5" t="s">
        <v>1</v>
      </c>
      <c r="D4" s="7">
        <v>1000000</v>
      </c>
      <c r="G4" s="6"/>
    </row>
    <row r="5" spans="1:10" x14ac:dyDescent="0.2">
      <c r="C5" s="5" t="s">
        <v>2</v>
      </c>
      <c r="D5">
        <v>0.25</v>
      </c>
      <c r="G5" s="6"/>
    </row>
    <row r="6" spans="1:10" x14ac:dyDescent="0.2">
      <c r="C6" s="5"/>
      <c r="G6" s="6"/>
    </row>
    <row r="7" spans="1:10" x14ac:dyDescent="0.2">
      <c r="C7" s="5" t="s">
        <v>3</v>
      </c>
      <c r="F7" t="s">
        <v>4</v>
      </c>
      <c r="G7" s="6"/>
    </row>
    <row r="8" spans="1:10" x14ac:dyDescent="0.2">
      <c r="C8" s="5" t="s">
        <v>5</v>
      </c>
      <c r="D8" t="s">
        <v>6</v>
      </c>
      <c r="F8" t="s">
        <v>7</v>
      </c>
      <c r="G8" s="29">
        <f>D9/(SUM(H14:H25)*(D4*D5/100))</f>
        <v>0.55582525594983956</v>
      </c>
      <c r="I8" t="s">
        <v>8</v>
      </c>
    </row>
    <row r="9" spans="1:10" ht="15" thickBot="1" x14ac:dyDescent="0.25">
      <c r="C9" s="9" t="s">
        <v>9</v>
      </c>
      <c r="D9" s="10">
        <f>SUMPRODUCT(F14:F25,H14:H25)</f>
        <v>16599.304399999997</v>
      </c>
      <c r="E9" s="11"/>
      <c r="F9" s="11" t="s">
        <v>10</v>
      </c>
      <c r="G9" s="12">
        <f>SUMPRODUCT(G14:G25,H14:H25)</f>
        <v>16599.304400000001</v>
      </c>
      <c r="I9" t="s">
        <v>11</v>
      </c>
      <c r="J9" s="28">
        <f>D9-G9</f>
        <v>0</v>
      </c>
    </row>
    <row r="10" spans="1:10" x14ac:dyDescent="0.2">
      <c r="C10" s="1"/>
      <c r="D10" s="14"/>
      <c r="G10" s="14"/>
      <c r="J10" s="13"/>
    </row>
    <row r="11" spans="1:10" ht="15" thickBot="1" x14ac:dyDescent="0.25">
      <c r="C11" s="1"/>
    </row>
    <row r="12" spans="1:10" ht="42.75" x14ac:dyDescent="0.2">
      <c r="C12" s="15"/>
      <c r="D12" s="16" t="s">
        <v>12</v>
      </c>
      <c r="E12" s="16" t="s">
        <v>13</v>
      </c>
      <c r="F12" s="16" t="s">
        <v>14</v>
      </c>
      <c r="G12" s="16" t="s">
        <v>15</v>
      </c>
      <c r="H12" s="16" t="s">
        <v>16</v>
      </c>
      <c r="I12" s="61" t="s">
        <v>27</v>
      </c>
      <c r="J12" s="62" t="s">
        <v>28</v>
      </c>
    </row>
    <row r="13" spans="1:10" x14ac:dyDescent="0.2">
      <c r="C13" s="25">
        <v>43902</v>
      </c>
      <c r="D13" s="26"/>
      <c r="E13" s="26"/>
      <c r="F13" s="26"/>
      <c r="G13" s="26"/>
      <c r="H13" s="26"/>
      <c r="I13" s="59">
        <f>WEEKDAY(C13)</f>
        <v>5</v>
      </c>
      <c r="J13" s="57">
        <f>C13</f>
        <v>43902</v>
      </c>
    </row>
    <row r="14" spans="1:10" x14ac:dyDescent="0.2">
      <c r="C14" s="5">
        <v>43994</v>
      </c>
      <c r="D14">
        <v>1</v>
      </c>
      <c r="E14" s="19">
        <v>0.78410000000000002</v>
      </c>
      <c r="F14" s="20">
        <f>$D$4*E14/100*$D$5</f>
        <v>1960.25</v>
      </c>
      <c r="G14" s="20">
        <f>$D$4*$G$8/100*$D$5</f>
        <v>1389.5631398745991</v>
      </c>
      <c r="H14" s="43">
        <v>0.99890000000000001</v>
      </c>
      <c r="I14" s="59">
        <f t="shared" ref="I14:I25" si="0">WEEKDAY(C14)</f>
        <v>6</v>
      </c>
      <c r="J14" s="57">
        <f>C14+2</f>
        <v>43996</v>
      </c>
    </row>
    <row r="15" spans="1:10" x14ac:dyDescent="0.2">
      <c r="C15" s="5">
        <v>44088</v>
      </c>
      <c r="D15">
        <v>2</v>
      </c>
      <c r="E15" s="19">
        <v>0.48199999999999998</v>
      </c>
      <c r="F15" s="20">
        <f t="shared" ref="F15:F25" si="1">$D$4*E15/100*$D$5</f>
        <v>1205</v>
      </c>
      <c r="G15" s="20">
        <f t="shared" ref="G15:G25" si="2">$D$4*$G$8/100*$D$5</f>
        <v>1389.5631398745991</v>
      </c>
      <c r="H15" s="43">
        <v>0.99839999999999995</v>
      </c>
      <c r="I15" s="59">
        <f t="shared" si="0"/>
        <v>2</v>
      </c>
      <c r="J15" s="57">
        <f t="shared" ref="J15:J25" si="3">C15</f>
        <v>44088</v>
      </c>
    </row>
    <row r="16" spans="1:10" x14ac:dyDescent="0.2">
      <c r="C16" s="5">
        <v>44179</v>
      </c>
      <c r="D16">
        <v>3</v>
      </c>
      <c r="E16" s="19">
        <v>0.44290000000000002</v>
      </c>
      <c r="F16" s="20">
        <f t="shared" si="1"/>
        <v>1107.25</v>
      </c>
      <c r="G16" s="20">
        <f t="shared" si="2"/>
        <v>1389.5631398745991</v>
      </c>
      <c r="H16" s="43">
        <v>0.998</v>
      </c>
      <c r="I16" s="59">
        <f t="shared" si="0"/>
        <v>2</v>
      </c>
      <c r="J16" s="57">
        <f t="shared" si="3"/>
        <v>44179</v>
      </c>
    </row>
    <row r="17" spans="1:10" x14ac:dyDescent="0.2">
      <c r="C17" s="5">
        <v>44267</v>
      </c>
      <c r="D17">
        <v>3</v>
      </c>
      <c r="E17" s="19">
        <v>0.47349999999999998</v>
      </c>
      <c r="F17" s="20">
        <f t="shared" si="1"/>
        <v>1183.75</v>
      </c>
      <c r="G17" s="20">
        <f t="shared" si="2"/>
        <v>1389.5631398745991</v>
      </c>
      <c r="H17" s="43">
        <v>0.99760000000000004</v>
      </c>
      <c r="I17" s="59">
        <f t="shared" si="0"/>
        <v>6</v>
      </c>
      <c r="J17" s="57">
        <f>C17+2</f>
        <v>44269</v>
      </c>
    </row>
    <row r="18" spans="1:10" x14ac:dyDescent="0.2">
      <c r="C18" s="5">
        <v>44361</v>
      </c>
      <c r="D18">
        <v>5</v>
      </c>
      <c r="E18" s="19">
        <v>0.44369999999999998</v>
      </c>
      <c r="F18" s="20">
        <f t="shared" si="1"/>
        <v>1109.25</v>
      </c>
      <c r="G18" s="20">
        <f t="shared" si="2"/>
        <v>1389.5631398745991</v>
      </c>
      <c r="H18" s="43">
        <v>0.99690000000000001</v>
      </c>
      <c r="I18" s="59">
        <f t="shared" si="0"/>
        <v>2</v>
      </c>
      <c r="J18" s="57">
        <f t="shared" si="3"/>
        <v>44361</v>
      </c>
    </row>
    <row r="19" spans="1:10" x14ac:dyDescent="0.2">
      <c r="C19" s="5">
        <v>44452</v>
      </c>
      <c r="D19">
        <v>6</v>
      </c>
      <c r="E19" s="19">
        <v>0.48459999999999998</v>
      </c>
      <c r="F19" s="20">
        <f t="shared" si="1"/>
        <v>1211.5</v>
      </c>
      <c r="G19" s="20">
        <f t="shared" si="2"/>
        <v>1389.5631398745991</v>
      </c>
      <c r="H19" s="43">
        <v>0.99629999999999996</v>
      </c>
      <c r="I19" s="59">
        <f t="shared" si="0"/>
        <v>2</v>
      </c>
      <c r="J19" s="57">
        <f t="shared" si="3"/>
        <v>44452</v>
      </c>
    </row>
    <row r="20" spans="1:10" x14ac:dyDescent="0.2">
      <c r="C20" s="5">
        <v>44543</v>
      </c>
      <c r="D20">
        <v>7</v>
      </c>
      <c r="E20" s="19">
        <v>0.51380000000000003</v>
      </c>
      <c r="F20" s="20">
        <f t="shared" si="1"/>
        <v>1284.5000000000002</v>
      </c>
      <c r="G20" s="20">
        <f t="shared" si="2"/>
        <v>1389.5631398745991</v>
      </c>
      <c r="H20" s="43">
        <v>0.99550000000000005</v>
      </c>
      <c r="I20" s="59">
        <f t="shared" si="0"/>
        <v>2</v>
      </c>
      <c r="J20" s="57">
        <f t="shared" si="3"/>
        <v>44543</v>
      </c>
    </row>
    <row r="21" spans="1:10" x14ac:dyDescent="0.2">
      <c r="C21" s="5">
        <v>44634</v>
      </c>
      <c r="D21">
        <v>8</v>
      </c>
      <c r="E21" s="19">
        <v>0.55500000000000005</v>
      </c>
      <c r="F21" s="20">
        <f t="shared" si="1"/>
        <v>1387.5</v>
      </c>
      <c r="G21" s="20">
        <f t="shared" si="2"/>
        <v>1389.5631398745991</v>
      </c>
      <c r="H21" s="43">
        <v>0.99480000000000002</v>
      </c>
      <c r="I21" s="59">
        <f t="shared" si="0"/>
        <v>2</v>
      </c>
      <c r="J21" s="57">
        <f t="shared" si="3"/>
        <v>44634</v>
      </c>
    </row>
    <row r="22" spans="1:10" x14ac:dyDescent="0.2">
      <c r="C22" s="5">
        <v>44725</v>
      </c>
      <c r="D22">
        <v>9</v>
      </c>
      <c r="E22" s="19">
        <v>0.58560000000000001</v>
      </c>
      <c r="F22" s="20">
        <f t="shared" si="1"/>
        <v>1464</v>
      </c>
      <c r="G22" s="20">
        <f t="shared" si="2"/>
        <v>1389.5631398745991</v>
      </c>
      <c r="H22" s="43">
        <v>0.99380000000000002</v>
      </c>
      <c r="I22" s="59">
        <f t="shared" si="0"/>
        <v>2</v>
      </c>
      <c r="J22" s="57">
        <f>C22+1</f>
        <v>44726</v>
      </c>
    </row>
    <row r="23" spans="1:10" x14ac:dyDescent="0.2">
      <c r="C23" s="5">
        <v>44816</v>
      </c>
      <c r="D23">
        <v>10</v>
      </c>
      <c r="E23" s="19">
        <v>0.63290000000000002</v>
      </c>
      <c r="F23" s="20">
        <f t="shared" si="1"/>
        <v>1582.25</v>
      </c>
      <c r="G23" s="20">
        <f t="shared" si="2"/>
        <v>1389.5631398745991</v>
      </c>
      <c r="H23" s="43">
        <v>0.99280000000000002</v>
      </c>
      <c r="I23" s="59">
        <f t="shared" si="0"/>
        <v>2</v>
      </c>
      <c r="J23" s="57">
        <f t="shared" si="3"/>
        <v>44816</v>
      </c>
    </row>
    <row r="24" spans="1:10" x14ac:dyDescent="0.2">
      <c r="C24" s="5">
        <v>44909</v>
      </c>
      <c r="D24">
        <v>11</v>
      </c>
      <c r="E24" s="19">
        <v>0.67420000000000002</v>
      </c>
      <c r="F24" s="20">
        <f t="shared" si="1"/>
        <v>1685.5</v>
      </c>
      <c r="G24" s="20">
        <f t="shared" si="2"/>
        <v>1389.5631398745991</v>
      </c>
      <c r="H24" s="43">
        <v>0.9919</v>
      </c>
      <c r="I24" s="59">
        <f t="shared" si="0"/>
        <v>4</v>
      </c>
      <c r="J24" s="57">
        <f t="shared" si="3"/>
        <v>44909</v>
      </c>
    </row>
    <row r="25" spans="1:10" ht="15" thickBot="1" x14ac:dyDescent="0.25">
      <c r="C25" s="9">
        <v>44997</v>
      </c>
      <c r="D25" s="11">
        <v>12</v>
      </c>
      <c r="E25" s="22">
        <v>0.59860000000000002</v>
      </c>
      <c r="F25" s="23">
        <f t="shared" si="1"/>
        <v>1496.5</v>
      </c>
      <c r="G25" s="23">
        <f t="shared" si="2"/>
        <v>1389.5631398745991</v>
      </c>
      <c r="H25" s="22">
        <v>0.99080000000000001</v>
      </c>
      <c r="I25" s="60">
        <f t="shared" si="0"/>
        <v>1</v>
      </c>
      <c r="J25" s="58">
        <f t="shared" si="3"/>
        <v>44997</v>
      </c>
    </row>
    <row r="26" spans="1:10" x14ac:dyDescent="0.2">
      <c r="J26" s="42"/>
    </row>
    <row r="27" spans="1:10" ht="19.5" x14ac:dyDescent="0.3">
      <c r="A27" s="63"/>
    </row>
    <row r="28" spans="1:10" x14ac:dyDescent="0.2">
      <c r="E28" s="19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fixr" altText="Fixed Rate">
                <anchor>
                  <from>
                    <xdr:col>5</xdr:col>
                    <xdr:colOff>885825</xdr:colOff>
                    <xdr:row>26</xdr:row>
                    <xdr:rowOff>19050</xdr:rowOff>
                  </from>
                  <to>
                    <xdr:col>6</xdr:col>
                    <xdr:colOff>895350</xdr:colOff>
                    <xdr:row>27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27"/>
  <sheetViews>
    <sheetView zoomScale="120" zoomScaleNormal="120" workbookViewId="0">
      <selection activeCell="C12" sqref="C12:H25"/>
    </sheetView>
  </sheetViews>
  <sheetFormatPr defaultRowHeight="14.25" x14ac:dyDescent="0.2"/>
  <cols>
    <col min="3" max="3" width="17.5" style="1" customWidth="1"/>
    <col min="4" max="4" width="12.75" customWidth="1"/>
    <col min="5" max="9" width="11.75" customWidth="1"/>
    <col min="10" max="10" width="13.75" customWidth="1"/>
    <col min="11" max="13" width="11.75" customWidth="1"/>
  </cols>
  <sheetData>
    <row r="1" spans="1:10" s="32" customFormat="1" ht="18.75" thickBot="1" x14ac:dyDescent="0.3">
      <c r="A1" s="32" t="s">
        <v>25</v>
      </c>
      <c r="C1" s="33"/>
    </row>
    <row r="2" spans="1:10" x14ac:dyDescent="0.2">
      <c r="C2" s="2" t="s">
        <v>0</v>
      </c>
      <c r="D2" s="3"/>
      <c r="E2" s="3"/>
      <c r="F2" s="3"/>
      <c r="G2" s="4"/>
    </row>
    <row r="3" spans="1:10" x14ac:dyDescent="0.2">
      <c r="C3" s="5"/>
      <c r="G3" s="6"/>
    </row>
    <row r="4" spans="1:10" x14ac:dyDescent="0.2">
      <c r="C4" s="5" t="s">
        <v>1</v>
      </c>
      <c r="D4" s="7">
        <v>1000000</v>
      </c>
      <c r="G4" s="6"/>
    </row>
    <row r="5" spans="1:10" x14ac:dyDescent="0.2">
      <c r="C5" s="5" t="s">
        <v>2</v>
      </c>
      <c r="D5">
        <v>0.25</v>
      </c>
      <c r="G5" s="6"/>
    </row>
    <row r="6" spans="1:10" x14ac:dyDescent="0.2">
      <c r="C6" s="5"/>
      <c r="G6" s="6"/>
    </row>
    <row r="7" spans="1:10" x14ac:dyDescent="0.2">
      <c r="C7" s="5" t="s">
        <v>3</v>
      </c>
      <c r="F7" t="s">
        <v>4</v>
      </c>
      <c r="G7" s="6"/>
    </row>
    <row r="8" spans="1:10" x14ac:dyDescent="0.2">
      <c r="C8" s="5" t="s">
        <v>5</v>
      </c>
      <c r="D8" t="s">
        <v>6</v>
      </c>
      <c r="F8" t="s">
        <v>7</v>
      </c>
      <c r="G8" s="29">
        <f>G9/(SUM(H14:H25)*(D4*D5/100))</f>
        <v>0.55582525594983967</v>
      </c>
      <c r="I8" t="s">
        <v>8</v>
      </c>
    </row>
    <row r="9" spans="1:10" ht="15" thickBot="1" x14ac:dyDescent="0.25">
      <c r="C9" s="9" t="s">
        <v>9</v>
      </c>
      <c r="D9" s="10">
        <f>SUMPRODUCT(F14:F25,H14:H25)</f>
        <v>16897.946899999999</v>
      </c>
      <c r="E9" s="11"/>
      <c r="F9" s="11" t="s">
        <v>10</v>
      </c>
      <c r="G9" s="12">
        <f>SUMPRODUCT(G14:G25,H14:H25)</f>
        <v>16599.304400000001</v>
      </c>
      <c r="I9" t="s">
        <v>11</v>
      </c>
      <c r="J9" s="28">
        <f>D9-G9</f>
        <v>298.64249999999811</v>
      </c>
    </row>
    <row r="10" spans="1:10" x14ac:dyDescent="0.2">
      <c r="D10" s="14"/>
      <c r="G10" s="14"/>
      <c r="J10" s="13"/>
    </row>
    <row r="12" spans="1:10" s="18" customFormat="1" ht="28.5" x14ac:dyDescent="0.2">
      <c r="C12" s="34"/>
      <c r="D12" s="35" t="s">
        <v>12</v>
      </c>
      <c r="E12" s="35" t="s">
        <v>13</v>
      </c>
      <c r="F12" s="35" t="s">
        <v>14</v>
      </c>
      <c r="G12" s="35" t="s">
        <v>15</v>
      </c>
      <c r="H12" s="36" t="s">
        <v>16</v>
      </c>
      <c r="I12" s="37" t="s">
        <v>22</v>
      </c>
      <c r="J12" s="38" t="s">
        <v>23</v>
      </c>
    </row>
    <row r="13" spans="1:10" s="18" customFormat="1" x14ac:dyDescent="0.2">
      <c r="C13" s="39">
        <v>43902</v>
      </c>
      <c r="D13" s="26"/>
      <c r="E13" s="26"/>
      <c r="F13" s="26"/>
      <c r="G13" s="26"/>
      <c r="H13" s="27"/>
      <c r="I13" s="26"/>
      <c r="J13" s="40"/>
    </row>
    <row r="14" spans="1:10" x14ac:dyDescent="0.2">
      <c r="C14" s="41">
        <v>43994</v>
      </c>
      <c r="D14" s="42">
        <v>1</v>
      </c>
      <c r="E14" s="43">
        <v>0.78410000000000002</v>
      </c>
      <c r="F14" s="44">
        <f>$D$4*I14/100*$D$5</f>
        <v>1985.25</v>
      </c>
      <c r="G14" s="44">
        <v>1389.5631398745991</v>
      </c>
      <c r="H14" s="21">
        <v>0.99890000000000001</v>
      </c>
      <c r="I14" s="45">
        <f>E14+0.01</f>
        <v>0.79410000000000003</v>
      </c>
      <c r="J14" s="46">
        <f>E14-0.01</f>
        <v>0.77410000000000001</v>
      </c>
    </row>
    <row r="15" spans="1:10" x14ac:dyDescent="0.2">
      <c r="C15" s="41">
        <v>44088</v>
      </c>
      <c r="D15" s="42">
        <v>2</v>
      </c>
      <c r="E15" s="43">
        <v>0.48199999999999998</v>
      </c>
      <c r="F15" s="44">
        <f t="shared" ref="F15:F25" si="0">$D$4*I15/100*$D$5</f>
        <v>1230</v>
      </c>
      <c r="G15" s="44">
        <v>1389.5631398745991</v>
      </c>
      <c r="H15" s="21">
        <v>0.99839999999999995</v>
      </c>
      <c r="I15" s="45">
        <f t="shared" ref="I15:I25" si="1">E15+0.01</f>
        <v>0.49199999999999999</v>
      </c>
      <c r="J15" s="46">
        <f t="shared" ref="J15:J25" si="2">E15-0.01</f>
        <v>0.47199999999999998</v>
      </c>
    </row>
    <row r="16" spans="1:10" x14ac:dyDescent="0.2">
      <c r="C16" s="41">
        <v>44179</v>
      </c>
      <c r="D16" s="42">
        <v>3</v>
      </c>
      <c r="E16" s="43">
        <v>0.44290000000000002</v>
      </c>
      <c r="F16" s="44">
        <f t="shared" si="0"/>
        <v>1132.25</v>
      </c>
      <c r="G16" s="44">
        <v>1389.5631398745991</v>
      </c>
      <c r="H16" s="21">
        <v>0.998</v>
      </c>
      <c r="I16" s="45">
        <f t="shared" si="1"/>
        <v>0.45290000000000002</v>
      </c>
      <c r="J16" s="46">
        <f t="shared" si="2"/>
        <v>0.43290000000000001</v>
      </c>
    </row>
    <row r="17" spans="1:10" x14ac:dyDescent="0.2">
      <c r="C17" s="41">
        <v>44267</v>
      </c>
      <c r="D17" s="42">
        <v>3</v>
      </c>
      <c r="E17" s="43">
        <v>0.47349999999999998</v>
      </c>
      <c r="F17" s="44">
        <f t="shared" si="0"/>
        <v>1208.75</v>
      </c>
      <c r="G17" s="44">
        <v>1389.5631398745991</v>
      </c>
      <c r="H17" s="21">
        <v>0.99760000000000004</v>
      </c>
      <c r="I17" s="45">
        <f t="shared" si="1"/>
        <v>0.48349999999999999</v>
      </c>
      <c r="J17" s="46">
        <f t="shared" si="2"/>
        <v>0.46349999999999997</v>
      </c>
    </row>
    <row r="18" spans="1:10" x14ac:dyDescent="0.2">
      <c r="C18" s="41">
        <v>44361</v>
      </c>
      <c r="D18" s="42">
        <v>5</v>
      </c>
      <c r="E18" s="43">
        <v>0.44369999999999998</v>
      </c>
      <c r="F18" s="44">
        <f t="shared" si="0"/>
        <v>1134.25</v>
      </c>
      <c r="G18" s="44">
        <v>1389.5631398745991</v>
      </c>
      <c r="H18" s="21">
        <v>0.99690000000000001</v>
      </c>
      <c r="I18" s="45">
        <f t="shared" si="1"/>
        <v>0.45369999999999999</v>
      </c>
      <c r="J18" s="46">
        <f t="shared" si="2"/>
        <v>0.43369999999999997</v>
      </c>
    </row>
    <row r="19" spans="1:10" x14ac:dyDescent="0.2">
      <c r="C19" s="41">
        <v>44452</v>
      </c>
      <c r="D19" s="42">
        <v>6</v>
      </c>
      <c r="E19" s="43">
        <v>0.48459999999999998</v>
      </c>
      <c r="F19" s="44">
        <f t="shared" si="0"/>
        <v>1236.5</v>
      </c>
      <c r="G19" s="44">
        <v>1389.5631398745991</v>
      </c>
      <c r="H19" s="21">
        <v>0.99629999999999996</v>
      </c>
      <c r="I19" s="45">
        <f t="shared" si="1"/>
        <v>0.49459999999999998</v>
      </c>
      <c r="J19" s="46">
        <f t="shared" si="2"/>
        <v>0.47459999999999997</v>
      </c>
    </row>
    <row r="20" spans="1:10" x14ac:dyDescent="0.2">
      <c r="C20" s="41">
        <v>44543</v>
      </c>
      <c r="D20" s="42">
        <v>7</v>
      </c>
      <c r="E20" s="43">
        <v>0.51380000000000003</v>
      </c>
      <c r="F20" s="44">
        <f t="shared" si="0"/>
        <v>1309.5000000000002</v>
      </c>
      <c r="G20" s="44">
        <v>1389.5631398745991</v>
      </c>
      <c r="H20" s="21">
        <v>0.99550000000000005</v>
      </c>
      <c r="I20" s="45">
        <f t="shared" si="1"/>
        <v>0.52380000000000004</v>
      </c>
      <c r="J20" s="46">
        <f t="shared" si="2"/>
        <v>0.50380000000000003</v>
      </c>
    </row>
    <row r="21" spans="1:10" x14ac:dyDescent="0.2">
      <c r="C21" s="41">
        <v>44634</v>
      </c>
      <c r="D21" s="42">
        <v>8</v>
      </c>
      <c r="E21" s="43">
        <v>0.55500000000000005</v>
      </c>
      <c r="F21" s="44">
        <f t="shared" si="0"/>
        <v>1412.5</v>
      </c>
      <c r="G21" s="44">
        <v>1389.5631398745991</v>
      </c>
      <c r="H21" s="21">
        <v>0.99480000000000002</v>
      </c>
      <c r="I21" s="45">
        <f t="shared" si="1"/>
        <v>0.56500000000000006</v>
      </c>
      <c r="J21" s="46">
        <f t="shared" si="2"/>
        <v>0.54500000000000004</v>
      </c>
    </row>
    <row r="22" spans="1:10" x14ac:dyDescent="0.2">
      <c r="C22" s="41">
        <v>43995</v>
      </c>
      <c r="D22" s="42">
        <v>9</v>
      </c>
      <c r="E22" s="43">
        <v>0.58560000000000001</v>
      </c>
      <c r="F22" s="44">
        <f t="shared" si="0"/>
        <v>1489</v>
      </c>
      <c r="G22" s="44">
        <v>1389.5631398745991</v>
      </c>
      <c r="H22" s="21">
        <v>0.99380000000000002</v>
      </c>
      <c r="I22" s="45">
        <f t="shared" si="1"/>
        <v>0.59560000000000002</v>
      </c>
      <c r="J22" s="46">
        <f t="shared" si="2"/>
        <v>0.5756</v>
      </c>
    </row>
    <row r="23" spans="1:10" x14ac:dyDescent="0.2">
      <c r="C23" s="41">
        <v>44816</v>
      </c>
      <c r="D23" s="42">
        <v>10</v>
      </c>
      <c r="E23" s="43">
        <v>0.63290000000000002</v>
      </c>
      <c r="F23" s="44">
        <f t="shared" si="0"/>
        <v>1607.25</v>
      </c>
      <c r="G23" s="44">
        <v>1389.5631398745991</v>
      </c>
      <c r="H23" s="21">
        <v>0.99280000000000002</v>
      </c>
      <c r="I23" s="45">
        <f t="shared" si="1"/>
        <v>0.64290000000000003</v>
      </c>
      <c r="J23" s="46">
        <f t="shared" si="2"/>
        <v>0.62290000000000001</v>
      </c>
    </row>
    <row r="24" spans="1:10" x14ac:dyDescent="0.2">
      <c r="C24" s="41">
        <v>44909</v>
      </c>
      <c r="D24" s="42">
        <v>11</v>
      </c>
      <c r="E24" s="43">
        <v>0.67420000000000002</v>
      </c>
      <c r="F24" s="44">
        <f t="shared" si="0"/>
        <v>1710.5</v>
      </c>
      <c r="G24" s="44">
        <v>1389.5631398745991</v>
      </c>
      <c r="H24" s="21">
        <v>0.9919</v>
      </c>
      <c r="I24" s="45">
        <f t="shared" si="1"/>
        <v>0.68420000000000003</v>
      </c>
      <c r="J24" s="46">
        <f t="shared" si="2"/>
        <v>0.66420000000000001</v>
      </c>
    </row>
    <row r="25" spans="1:10" x14ac:dyDescent="0.2">
      <c r="C25" s="47">
        <v>44997</v>
      </c>
      <c r="D25" s="48">
        <v>12</v>
      </c>
      <c r="E25" s="49">
        <v>0.59860000000000002</v>
      </c>
      <c r="F25" s="50">
        <f t="shared" si="0"/>
        <v>1521.5</v>
      </c>
      <c r="G25" s="50">
        <v>1389.5631398745991</v>
      </c>
      <c r="H25" s="51">
        <v>0.99080000000000001</v>
      </c>
      <c r="I25" s="52">
        <f t="shared" si="1"/>
        <v>0.60860000000000003</v>
      </c>
      <c r="J25" s="53">
        <f t="shared" si="2"/>
        <v>0.58860000000000001</v>
      </c>
    </row>
    <row r="27" spans="1:10" s="30" customFormat="1" ht="15.75" x14ac:dyDescent="0.25">
      <c r="A27" s="30" t="s">
        <v>24</v>
      </c>
      <c r="C27" s="31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57"/>
  <sheetViews>
    <sheetView tabSelected="1" topLeftCell="G1" zoomScale="120" zoomScaleNormal="120" workbookViewId="0">
      <selection activeCell="C45" sqref="C45"/>
    </sheetView>
  </sheetViews>
  <sheetFormatPr defaultRowHeight="14.25" x14ac:dyDescent="0.2"/>
  <cols>
    <col min="3" max="3" width="17.5" customWidth="1"/>
    <col min="4" max="4" width="12.75" customWidth="1"/>
    <col min="5" max="7" width="11.75" customWidth="1"/>
    <col min="9" max="9" width="17.5" customWidth="1"/>
    <col min="10" max="10" width="19.875" customWidth="1"/>
    <col min="11" max="11" width="14.5" customWidth="1"/>
    <col min="12" max="13" width="13.125" customWidth="1"/>
    <col min="14" max="14" width="14.5" customWidth="1"/>
  </cols>
  <sheetData>
    <row r="1" spans="1:13" s="32" customFormat="1" ht="18.75" thickBot="1" x14ac:dyDescent="0.3">
      <c r="A1" s="32" t="s">
        <v>26</v>
      </c>
    </row>
    <row r="2" spans="1:13" x14ac:dyDescent="0.2">
      <c r="C2" s="2" t="s">
        <v>0</v>
      </c>
      <c r="D2" s="3"/>
      <c r="E2" s="3"/>
      <c r="F2" s="3"/>
      <c r="G2" s="4"/>
    </row>
    <row r="3" spans="1:13" x14ac:dyDescent="0.2">
      <c r="C3" s="5"/>
      <c r="G3" s="6"/>
    </row>
    <row r="4" spans="1:13" x14ac:dyDescent="0.2">
      <c r="C4" s="5" t="s">
        <v>1</v>
      </c>
      <c r="D4" s="7">
        <v>1000000</v>
      </c>
      <c r="G4" s="6"/>
    </row>
    <row r="5" spans="1:13" x14ac:dyDescent="0.2">
      <c r="C5" s="5" t="s">
        <v>2</v>
      </c>
      <c r="D5">
        <v>0.25</v>
      </c>
      <c r="G5" s="6"/>
    </row>
    <row r="6" spans="1:13" x14ac:dyDescent="0.2">
      <c r="C6" s="5"/>
      <c r="G6" s="6"/>
    </row>
    <row r="7" spans="1:13" x14ac:dyDescent="0.2">
      <c r="C7" s="5" t="s">
        <v>3</v>
      </c>
      <c r="F7" t="s">
        <v>4</v>
      </c>
      <c r="G7" s="6"/>
    </row>
    <row r="8" spans="1:13" x14ac:dyDescent="0.2">
      <c r="C8" s="5" t="s">
        <v>5</v>
      </c>
      <c r="D8" t="s">
        <v>6</v>
      </c>
      <c r="F8" t="s">
        <v>7</v>
      </c>
      <c r="G8" s="29">
        <f>G9/(SUM(H14:H25)*(D4*D5/100))</f>
        <v>0.55582525594983967</v>
      </c>
      <c r="I8" s="42" t="s">
        <v>33</v>
      </c>
      <c r="J8" s="72">
        <v>0</v>
      </c>
    </row>
    <row r="9" spans="1:13" ht="15" thickBot="1" x14ac:dyDescent="0.25">
      <c r="C9" s="9" t="s">
        <v>9</v>
      </c>
      <c r="D9" s="10">
        <f>SUMPRODUCT(F14:F25,H14:H25)</f>
        <v>16599.304399999997</v>
      </c>
      <c r="E9" s="11"/>
      <c r="F9" s="11" t="s">
        <v>10</v>
      </c>
      <c r="G9" s="12">
        <f>SUMPRODUCT(G14:G25,H14:H25)</f>
        <v>16599.304400000001</v>
      </c>
      <c r="J9" s="44"/>
      <c r="K9" s="42"/>
      <c r="L9" s="42"/>
    </row>
    <row r="10" spans="1:13" x14ac:dyDescent="0.2">
      <c r="I10" s="42"/>
      <c r="J10" s="42"/>
      <c r="K10" s="42"/>
      <c r="L10" s="42"/>
    </row>
    <row r="11" spans="1:13" x14ac:dyDescent="0.2">
      <c r="C11" s="42"/>
      <c r="D11" s="42"/>
      <c r="I11" s="42"/>
      <c r="J11" s="42"/>
      <c r="K11" s="42"/>
      <c r="L11" s="42"/>
    </row>
    <row r="12" spans="1:13" ht="42.75" x14ac:dyDescent="0.2">
      <c r="C12" s="34"/>
      <c r="D12" s="35" t="s">
        <v>12</v>
      </c>
      <c r="E12" s="35" t="s">
        <v>13</v>
      </c>
      <c r="F12" s="35" t="s">
        <v>14</v>
      </c>
      <c r="G12" s="35" t="s">
        <v>15</v>
      </c>
      <c r="H12" s="36" t="s">
        <v>16</v>
      </c>
      <c r="I12" s="5"/>
      <c r="J12" s="42"/>
      <c r="K12" s="66"/>
      <c r="L12" s="66"/>
      <c r="M12" s="42"/>
    </row>
    <row r="13" spans="1:13" x14ac:dyDescent="0.2">
      <c r="C13" s="39">
        <v>43902</v>
      </c>
      <c r="D13" s="26"/>
      <c r="E13" s="26"/>
      <c r="F13" s="26"/>
      <c r="G13" s="26"/>
      <c r="H13" s="27"/>
      <c r="I13" s="64"/>
      <c r="J13" s="42"/>
      <c r="K13" s="42"/>
      <c r="L13" s="42"/>
      <c r="M13" s="42"/>
    </row>
    <row r="14" spans="1:13" x14ac:dyDescent="0.2">
      <c r="C14" s="41">
        <v>43994</v>
      </c>
      <c r="D14" s="42">
        <v>1</v>
      </c>
      <c r="E14" s="43">
        <v>0.78410000000000002</v>
      </c>
      <c r="F14" s="44">
        <f>$D$4*E14/100*$D$5</f>
        <v>1960.25</v>
      </c>
      <c r="G14" s="44">
        <v>1389.5631398745991</v>
      </c>
      <c r="H14" s="21">
        <v>0.99890000000000001</v>
      </c>
      <c r="I14" s="65"/>
      <c r="J14" s="54"/>
      <c r="K14" s="54"/>
      <c r="L14" s="54"/>
      <c r="M14" s="42"/>
    </row>
    <row r="15" spans="1:13" x14ac:dyDescent="0.2">
      <c r="C15" s="41">
        <v>44088</v>
      </c>
      <c r="D15" s="42">
        <v>2</v>
      </c>
      <c r="E15" s="43">
        <v>0.48199999999999998</v>
      </c>
      <c r="F15" s="44">
        <f t="shared" ref="F15:F25" si="0">$D$4*E15/100*$D$5</f>
        <v>1205</v>
      </c>
      <c r="G15" s="44">
        <v>1389.5631398745991</v>
      </c>
      <c r="H15" s="21">
        <v>0.99839999999999995</v>
      </c>
      <c r="I15" s="65"/>
      <c r="J15" s="54"/>
      <c r="K15" s="54"/>
      <c r="L15" s="54"/>
      <c r="M15" s="42"/>
    </row>
    <row r="16" spans="1:13" x14ac:dyDescent="0.2">
      <c r="C16" s="41">
        <v>44179</v>
      </c>
      <c r="D16" s="42">
        <v>3</v>
      </c>
      <c r="E16" s="43">
        <v>0.44290000000000002</v>
      </c>
      <c r="F16" s="44">
        <f t="shared" si="0"/>
        <v>1107.25</v>
      </c>
      <c r="G16" s="44">
        <v>1389.5631398745991</v>
      </c>
      <c r="H16" s="21">
        <v>0.998</v>
      </c>
      <c r="I16" s="65"/>
      <c r="J16" s="54"/>
      <c r="K16" s="54"/>
      <c r="L16" s="54"/>
      <c r="M16" s="42"/>
    </row>
    <row r="17" spans="3:14" x14ac:dyDescent="0.2">
      <c r="C17" s="41">
        <v>44267</v>
      </c>
      <c r="D17" s="42">
        <v>3</v>
      </c>
      <c r="E17" s="43">
        <v>0.47349999999999998</v>
      </c>
      <c r="F17" s="44">
        <f t="shared" si="0"/>
        <v>1183.75</v>
      </c>
      <c r="G17" s="44">
        <v>1389.5631398745991</v>
      </c>
      <c r="H17" s="21">
        <v>0.99760000000000004</v>
      </c>
      <c r="I17" s="65"/>
      <c r="J17" s="54"/>
      <c r="K17" s="54"/>
      <c r="L17" s="54"/>
      <c r="M17" s="42"/>
    </row>
    <row r="18" spans="3:14" x14ac:dyDescent="0.2">
      <c r="C18" s="41">
        <v>44361</v>
      </c>
      <c r="D18" s="42">
        <v>5</v>
      </c>
      <c r="E18" s="43">
        <v>0.44369999999999998</v>
      </c>
      <c r="F18" s="44">
        <f t="shared" si="0"/>
        <v>1109.25</v>
      </c>
      <c r="G18" s="44">
        <v>1389.5631398745991</v>
      </c>
      <c r="H18" s="21">
        <v>0.99690000000000001</v>
      </c>
      <c r="I18" s="65"/>
      <c r="J18" s="54"/>
      <c r="K18" s="54"/>
      <c r="L18" s="54"/>
      <c r="M18" s="42"/>
    </row>
    <row r="19" spans="3:14" x14ac:dyDescent="0.2">
      <c r="C19" s="41">
        <v>44452</v>
      </c>
      <c r="D19" s="42">
        <v>6</v>
      </c>
      <c r="E19" s="43">
        <v>0.48459999999999998</v>
      </c>
      <c r="F19" s="44">
        <f t="shared" si="0"/>
        <v>1211.5</v>
      </c>
      <c r="G19" s="44">
        <v>1389.5631398745991</v>
      </c>
      <c r="H19" s="21">
        <v>0.99629999999999996</v>
      </c>
      <c r="I19" s="65"/>
      <c r="J19" s="54"/>
      <c r="K19" s="54"/>
      <c r="L19" s="54"/>
      <c r="M19" s="42"/>
    </row>
    <row r="20" spans="3:14" x14ac:dyDescent="0.2">
      <c r="C20" s="41">
        <v>44543</v>
      </c>
      <c r="D20" s="42">
        <v>7</v>
      </c>
      <c r="E20" s="43">
        <v>0.51380000000000003</v>
      </c>
      <c r="F20" s="44">
        <f t="shared" si="0"/>
        <v>1284.5000000000002</v>
      </c>
      <c r="G20" s="44">
        <v>1389.5631398745991</v>
      </c>
      <c r="H20" s="21">
        <v>0.99550000000000005</v>
      </c>
      <c r="I20" s="65"/>
      <c r="J20" s="54"/>
      <c r="K20" s="54"/>
      <c r="L20" s="54"/>
      <c r="M20" s="42"/>
    </row>
    <row r="21" spans="3:14" x14ac:dyDescent="0.2">
      <c r="C21" s="41">
        <v>44634</v>
      </c>
      <c r="D21" s="42">
        <v>8</v>
      </c>
      <c r="E21" s="43">
        <v>0.55500000000000005</v>
      </c>
      <c r="F21" s="44">
        <f t="shared" si="0"/>
        <v>1387.5</v>
      </c>
      <c r="G21" s="44">
        <v>1389.5631398745991</v>
      </c>
      <c r="H21" s="21">
        <v>0.99480000000000002</v>
      </c>
      <c r="I21" s="65"/>
      <c r="J21" s="54"/>
      <c r="K21" s="54"/>
      <c r="L21" s="54"/>
      <c r="M21" s="42"/>
    </row>
    <row r="22" spans="3:14" x14ac:dyDescent="0.2">
      <c r="C22" s="41">
        <v>44725</v>
      </c>
      <c r="D22" s="42">
        <v>9</v>
      </c>
      <c r="E22" s="43">
        <v>0.58560000000000001</v>
      </c>
      <c r="F22" s="44">
        <f t="shared" si="0"/>
        <v>1464</v>
      </c>
      <c r="G22" s="44">
        <v>1389.5631398745991</v>
      </c>
      <c r="H22" s="21">
        <v>0.99380000000000002</v>
      </c>
      <c r="I22" s="65"/>
      <c r="J22" s="54"/>
      <c r="K22" s="54"/>
      <c r="L22" s="54"/>
      <c r="M22" s="42"/>
    </row>
    <row r="23" spans="3:14" x14ac:dyDescent="0.2">
      <c r="C23" s="41">
        <v>44816</v>
      </c>
      <c r="D23" s="42">
        <v>10</v>
      </c>
      <c r="E23" s="43">
        <v>0.63290000000000002</v>
      </c>
      <c r="F23" s="44">
        <f t="shared" si="0"/>
        <v>1582.25</v>
      </c>
      <c r="G23" s="44">
        <v>1389.5631398745991</v>
      </c>
      <c r="H23" s="21">
        <v>0.99280000000000002</v>
      </c>
      <c r="I23" s="65"/>
      <c r="J23" s="54"/>
      <c r="K23" s="54"/>
      <c r="L23" s="54"/>
      <c r="M23" s="42"/>
    </row>
    <row r="24" spans="3:14" x14ac:dyDescent="0.2">
      <c r="C24" s="41">
        <v>44909</v>
      </c>
      <c r="D24" s="42">
        <v>11</v>
      </c>
      <c r="E24" s="43">
        <v>0.67420000000000002</v>
      </c>
      <c r="F24" s="44">
        <f t="shared" si="0"/>
        <v>1685.5</v>
      </c>
      <c r="G24" s="44">
        <v>1389.5631398745991</v>
      </c>
      <c r="H24" s="21">
        <v>0.9919</v>
      </c>
      <c r="I24" s="65"/>
      <c r="J24" s="54"/>
      <c r="K24" s="54"/>
      <c r="L24" s="54"/>
      <c r="M24" s="42"/>
    </row>
    <row r="25" spans="3:14" x14ac:dyDescent="0.2">
      <c r="C25" s="47">
        <v>44997</v>
      </c>
      <c r="D25" s="48">
        <v>12</v>
      </c>
      <c r="E25" s="49">
        <v>0.59860000000000002</v>
      </c>
      <c r="F25" s="50">
        <f t="shared" si="0"/>
        <v>1496.5</v>
      </c>
      <c r="G25" s="50">
        <v>1389.5631398745991</v>
      </c>
      <c r="H25" s="51">
        <v>0.99080000000000001</v>
      </c>
      <c r="I25" s="65"/>
      <c r="J25" s="54"/>
      <c r="K25" s="54"/>
      <c r="L25" s="54"/>
      <c r="M25" s="42"/>
    </row>
    <row r="26" spans="3:14" x14ac:dyDescent="0.2">
      <c r="G26" s="55"/>
      <c r="I26" s="42"/>
      <c r="J26" s="42"/>
      <c r="K26" s="42"/>
      <c r="L26" s="42"/>
      <c r="M26" s="42"/>
    </row>
    <row r="27" spans="3:14" ht="15" thickBot="1" x14ac:dyDescent="0.25">
      <c r="G27" s="55"/>
      <c r="H27" s="56"/>
    </row>
    <row r="28" spans="3:14" ht="42.75" x14ac:dyDescent="0.2">
      <c r="C28" s="34"/>
      <c r="D28" s="35" t="s">
        <v>12</v>
      </c>
      <c r="E28" s="35" t="s">
        <v>13</v>
      </c>
      <c r="F28" s="35" t="s">
        <v>14</v>
      </c>
      <c r="G28" s="35" t="s">
        <v>15</v>
      </c>
      <c r="H28" s="38" t="s">
        <v>16</v>
      </c>
      <c r="J28" s="2" t="s">
        <v>0</v>
      </c>
      <c r="K28" s="3"/>
      <c r="L28" s="3"/>
      <c r="M28" s="3"/>
      <c r="N28" s="4"/>
    </row>
    <row r="29" spans="3:14" x14ac:dyDescent="0.2">
      <c r="C29" s="73">
        <v>43903</v>
      </c>
      <c r="D29" s="26"/>
      <c r="E29" s="26"/>
      <c r="F29" s="26"/>
      <c r="G29" s="26"/>
      <c r="H29" s="40"/>
      <c r="J29" s="5"/>
      <c r="N29" s="6"/>
    </row>
    <row r="30" spans="3:14" x14ac:dyDescent="0.2">
      <c r="C30" s="41">
        <v>43996</v>
      </c>
      <c r="D30" s="42">
        <v>1</v>
      </c>
      <c r="E30" s="43">
        <v>0.78410000000000002</v>
      </c>
      <c r="F30" s="44">
        <f>$D$4*(C30-C29)/36000*E30</f>
        <v>2025.5916666666669</v>
      </c>
      <c r="G30" s="44">
        <f>$K$30*$N$34*(C30-C29)/36000</f>
        <v>1435.8819112037527</v>
      </c>
      <c r="H30" s="69">
        <v>0.99870000000000003</v>
      </c>
      <c r="J30" s="5" t="s">
        <v>1</v>
      </c>
      <c r="K30" s="7">
        <v>1000000</v>
      </c>
      <c r="N30" s="6"/>
    </row>
    <row r="31" spans="3:14" x14ac:dyDescent="0.2">
      <c r="C31" s="41">
        <v>44088</v>
      </c>
      <c r="D31" s="42">
        <v>2</v>
      </c>
      <c r="E31" s="43">
        <v>0.58560000000000001</v>
      </c>
      <c r="F31" s="44">
        <f t="shared" ref="F31:F41" si="1">$D$4*(C31-C30)/36000*E31</f>
        <v>1496.5333333333333</v>
      </c>
      <c r="G31" s="44">
        <f t="shared" ref="G31:G41" si="2">$K$30*$N$34*(C31-C30)/36000</f>
        <v>1420.4423207607015</v>
      </c>
      <c r="H31" s="69">
        <v>0.99850000000000005</v>
      </c>
      <c r="J31" s="5" t="s">
        <v>2</v>
      </c>
      <c r="K31" s="67" t="s">
        <v>30</v>
      </c>
      <c r="N31" s="6"/>
    </row>
    <row r="32" spans="3:14" x14ac:dyDescent="0.2">
      <c r="C32" s="41">
        <v>44179</v>
      </c>
      <c r="D32" s="42">
        <v>3</v>
      </c>
      <c r="E32" s="43">
        <v>0.44290000000000002</v>
      </c>
      <c r="F32" s="44">
        <f t="shared" si="1"/>
        <v>1119.5527777777779</v>
      </c>
      <c r="G32" s="44">
        <f t="shared" si="2"/>
        <v>1405.0027303176503</v>
      </c>
      <c r="H32" s="69">
        <v>0.99809999999999999</v>
      </c>
      <c r="J32" s="5"/>
      <c r="N32" s="6"/>
    </row>
    <row r="33" spans="3:14" x14ac:dyDescent="0.2">
      <c r="C33" s="41">
        <v>44269</v>
      </c>
      <c r="D33" s="42">
        <v>3</v>
      </c>
      <c r="E33" s="43">
        <v>0.47349999999999998</v>
      </c>
      <c r="F33" s="44">
        <f t="shared" si="1"/>
        <v>1183.75</v>
      </c>
      <c r="G33" s="44">
        <f t="shared" si="2"/>
        <v>1389.5631398745993</v>
      </c>
      <c r="H33" s="69">
        <v>0.99780000000000002</v>
      </c>
      <c r="J33" s="5" t="s">
        <v>3</v>
      </c>
      <c r="M33" t="s">
        <v>4</v>
      </c>
      <c r="N33" s="6"/>
    </row>
    <row r="34" spans="3:14" x14ac:dyDescent="0.2">
      <c r="C34" s="41">
        <v>44361</v>
      </c>
      <c r="D34" s="42">
        <v>5</v>
      </c>
      <c r="E34" s="43">
        <v>0.59860000000000002</v>
      </c>
      <c r="F34" s="44">
        <f t="shared" si="1"/>
        <v>1529.7555555555557</v>
      </c>
      <c r="G34" s="44">
        <f t="shared" si="2"/>
        <v>1420.4423207607015</v>
      </c>
      <c r="H34" s="69">
        <v>0.99650000000000005</v>
      </c>
      <c r="J34" s="5" t="s">
        <v>5</v>
      </c>
      <c r="K34" t="s">
        <v>6</v>
      </c>
      <c r="M34" t="s">
        <v>7</v>
      </c>
      <c r="N34" s="29">
        <v>0.55582525594983967</v>
      </c>
    </row>
    <row r="35" spans="3:14" ht="15" thickBot="1" x14ac:dyDescent="0.25">
      <c r="C35" s="41">
        <v>44452</v>
      </c>
      <c r="D35" s="42">
        <v>6</v>
      </c>
      <c r="E35" s="43">
        <v>0.48459999999999998</v>
      </c>
      <c r="F35" s="44">
        <f t="shared" si="1"/>
        <v>1224.961111111111</v>
      </c>
      <c r="G35" s="44">
        <f t="shared" si="2"/>
        <v>1405.0027303176503</v>
      </c>
      <c r="H35" s="69">
        <v>0.99639999999999995</v>
      </c>
      <c r="J35" s="9" t="s">
        <v>9</v>
      </c>
      <c r="K35" s="10">
        <f>SUMPRODUCT(F30:F41,H30:H41)</f>
        <v>16898.573323611112</v>
      </c>
      <c r="L35" s="11"/>
      <c r="M35" s="11" t="s">
        <v>10</v>
      </c>
      <c r="N35" s="12">
        <f>SUMPRODUCT(G30:G41,H30:H41)</f>
        <v>16817.771516851088</v>
      </c>
    </row>
    <row r="36" spans="3:14" x14ac:dyDescent="0.2">
      <c r="C36" s="41">
        <v>44543</v>
      </c>
      <c r="D36" s="42">
        <v>7</v>
      </c>
      <c r="E36" s="43">
        <v>0.51380000000000003</v>
      </c>
      <c r="F36" s="44">
        <f t="shared" si="1"/>
        <v>1298.7722222222224</v>
      </c>
      <c r="G36" s="44">
        <f t="shared" si="2"/>
        <v>1405.0027303176503</v>
      </c>
      <c r="H36" s="69">
        <v>0.99550000000000005</v>
      </c>
    </row>
    <row r="37" spans="3:14" x14ac:dyDescent="0.2">
      <c r="C37" s="41">
        <v>44634</v>
      </c>
      <c r="D37" s="42">
        <v>8</v>
      </c>
      <c r="E37" s="43">
        <v>0.55500000000000005</v>
      </c>
      <c r="F37" s="44">
        <f t="shared" si="1"/>
        <v>1402.9166666666667</v>
      </c>
      <c r="G37" s="44">
        <f t="shared" si="2"/>
        <v>1405.0027303176503</v>
      </c>
      <c r="H37" s="69">
        <v>0.99460000000000004</v>
      </c>
      <c r="J37" s="68" t="s">
        <v>31</v>
      </c>
      <c r="K37" s="71">
        <f>K35-N35</f>
        <v>80.801806760024192</v>
      </c>
    </row>
    <row r="38" spans="3:14" x14ac:dyDescent="0.2">
      <c r="C38" s="41">
        <v>44726</v>
      </c>
      <c r="D38" s="42">
        <v>9</v>
      </c>
      <c r="E38" s="43">
        <v>0.58660000000000001</v>
      </c>
      <c r="F38" s="44">
        <f t="shared" si="1"/>
        <v>1499.088888888889</v>
      </c>
      <c r="G38" s="44">
        <f t="shared" si="2"/>
        <v>1420.4423207607015</v>
      </c>
      <c r="H38" s="69">
        <v>0.99429999999999996</v>
      </c>
      <c r="J38" s="68" t="s">
        <v>32</v>
      </c>
      <c r="K38" s="71">
        <f>K37-J8</f>
        <v>80.801806760024192</v>
      </c>
    </row>
    <row r="39" spans="3:14" x14ac:dyDescent="0.2">
      <c r="C39" s="41">
        <v>44816</v>
      </c>
      <c r="D39" s="42">
        <v>10</v>
      </c>
      <c r="E39" s="43">
        <v>0.63290000000000002</v>
      </c>
      <c r="F39" s="44">
        <f t="shared" si="1"/>
        <v>1582.25</v>
      </c>
      <c r="G39" s="44">
        <f t="shared" si="2"/>
        <v>1389.5631398745993</v>
      </c>
      <c r="H39" s="69">
        <v>0.99350000000000005</v>
      </c>
    </row>
    <row r="40" spans="3:14" x14ac:dyDescent="0.2">
      <c r="C40" s="41">
        <v>44909</v>
      </c>
      <c r="D40" s="42">
        <v>11</v>
      </c>
      <c r="E40" s="43">
        <v>0.44309999999999999</v>
      </c>
      <c r="F40" s="44">
        <f t="shared" si="1"/>
        <v>1144.675</v>
      </c>
      <c r="G40" s="44">
        <f t="shared" si="2"/>
        <v>1435.8819112037527</v>
      </c>
      <c r="H40" s="69">
        <v>0.99209999999999998</v>
      </c>
    </row>
    <row r="41" spans="3:14" x14ac:dyDescent="0.2">
      <c r="C41" s="47">
        <v>44997</v>
      </c>
      <c r="D41" s="48">
        <v>12</v>
      </c>
      <c r="E41" s="49">
        <v>0.59860000000000002</v>
      </c>
      <c r="F41" s="50">
        <f t="shared" si="1"/>
        <v>1463.2444444444445</v>
      </c>
      <c r="G41" s="44">
        <f t="shared" si="2"/>
        <v>1358.6839589884971</v>
      </c>
      <c r="H41" s="70">
        <v>0.9919</v>
      </c>
    </row>
    <row r="43" spans="3:14" ht="15" thickBot="1" x14ac:dyDescent="0.25"/>
    <row r="44" spans="3:14" ht="42.75" x14ac:dyDescent="0.2">
      <c r="C44" s="34"/>
      <c r="D44" s="35" t="s">
        <v>12</v>
      </c>
      <c r="E44" s="35" t="s">
        <v>13</v>
      </c>
      <c r="F44" s="35" t="s">
        <v>14</v>
      </c>
      <c r="G44" s="35" t="s">
        <v>15</v>
      </c>
      <c r="H44" s="38" t="s">
        <v>16</v>
      </c>
      <c r="J44" s="2" t="s">
        <v>0</v>
      </c>
      <c r="K44" s="3"/>
      <c r="L44" s="3"/>
      <c r="M44" s="3"/>
      <c r="N44" s="4"/>
    </row>
    <row r="45" spans="3:14" x14ac:dyDescent="0.2">
      <c r="C45" s="73">
        <v>43904</v>
      </c>
      <c r="D45" s="26"/>
      <c r="E45" s="26"/>
      <c r="F45" s="26"/>
      <c r="G45" s="26"/>
      <c r="H45" s="40"/>
      <c r="J45" s="5"/>
      <c r="N45" s="6"/>
    </row>
    <row r="46" spans="3:14" x14ac:dyDescent="0.2">
      <c r="C46" s="41">
        <v>43996</v>
      </c>
      <c r="D46" s="42">
        <v>1</v>
      </c>
      <c r="E46" s="43">
        <v>0.78439999999999999</v>
      </c>
      <c r="F46" s="44">
        <f>$K$46*(C46-C45)/36000*E46</f>
        <v>2004.5777777777778</v>
      </c>
      <c r="G46" s="44">
        <f>$K$46*$N$50*(C46-C45)/36000</f>
        <v>1420.4423207607015</v>
      </c>
      <c r="H46" s="69">
        <v>0.99880000000000002</v>
      </c>
      <c r="J46" s="5" t="s">
        <v>1</v>
      </c>
      <c r="K46" s="7">
        <v>1000000</v>
      </c>
      <c r="N46" s="6"/>
    </row>
    <row r="47" spans="3:14" x14ac:dyDescent="0.2">
      <c r="C47" s="41">
        <v>44088</v>
      </c>
      <c r="D47" s="42">
        <v>2</v>
      </c>
      <c r="E47" s="43">
        <v>0.58609999999999995</v>
      </c>
      <c r="F47" s="44">
        <f t="shared" ref="F47:F57" si="3">$K$46*(C47-C46)/36000*E47</f>
        <v>1497.8111111111111</v>
      </c>
      <c r="G47" s="44">
        <f t="shared" ref="G47:G57" si="4">$K$46*$N$50*(C47-C46)/36000</f>
        <v>1420.4423207607015</v>
      </c>
      <c r="H47" s="69">
        <v>0.99839999999999995</v>
      </c>
      <c r="J47" s="5" t="s">
        <v>2</v>
      </c>
      <c r="K47" s="67" t="s">
        <v>29</v>
      </c>
      <c r="N47" s="6"/>
    </row>
    <row r="48" spans="3:14" x14ac:dyDescent="0.2">
      <c r="C48" s="41">
        <v>44179</v>
      </c>
      <c r="D48" s="42">
        <v>3</v>
      </c>
      <c r="E48" s="43">
        <v>0.44209999999999999</v>
      </c>
      <c r="F48" s="44">
        <f t="shared" si="3"/>
        <v>1117.5305555555556</v>
      </c>
      <c r="G48" s="44">
        <f t="shared" si="4"/>
        <v>1405.0027303176503</v>
      </c>
      <c r="H48" s="69">
        <v>0.99809999999999999</v>
      </c>
      <c r="J48" s="5"/>
      <c r="N48" s="6"/>
    </row>
    <row r="49" spans="3:14" x14ac:dyDescent="0.2">
      <c r="C49" s="41">
        <v>44269</v>
      </c>
      <c r="D49" s="42">
        <v>3</v>
      </c>
      <c r="E49" s="43">
        <v>0.47320000000000001</v>
      </c>
      <c r="F49" s="44">
        <f t="shared" si="3"/>
        <v>1183</v>
      </c>
      <c r="G49" s="44">
        <f t="shared" si="4"/>
        <v>1389.5631398745993</v>
      </c>
      <c r="H49" s="69">
        <v>0.99760000000000004</v>
      </c>
      <c r="J49" s="5" t="s">
        <v>3</v>
      </c>
      <c r="M49" t="s">
        <v>4</v>
      </c>
      <c r="N49" s="6"/>
    </row>
    <row r="50" spans="3:14" x14ac:dyDescent="0.2">
      <c r="C50" s="41">
        <v>44361</v>
      </c>
      <c r="D50" s="42">
        <v>5</v>
      </c>
      <c r="E50" s="43">
        <v>0.59799999999999998</v>
      </c>
      <c r="F50" s="44">
        <f t="shared" si="3"/>
        <v>1528.2222222222222</v>
      </c>
      <c r="G50" s="44">
        <f t="shared" si="4"/>
        <v>1420.4423207607015</v>
      </c>
      <c r="H50" s="69">
        <v>0.99680000000000002</v>
      </c>
      <c r="J50" s="5" t="s">
        <v>5</v>
      </c>
      <c r="K50" t="s">
        <v>6</v>
      </c>
      <c r="M50" t="s">
        <v>7</v>
      </c>
      <c r="N50" s="29">
        <v>0.55582525594983967</v>
      </c>
    </row>
    <row r="51" spans="3:14" ht="15" thickBot="1" x14ac:dyDescent="0.25">
      <c r="C51" s="41">
        <v>44452</v>
      </c>
      <c r="D51" s="42">
        <v>6</v>
      </c>
      <c r="E51" s="43">
        <v>0.48499999999999999</v>
      </c>
      <c r="F51" s="44">
        <f t="shared" si="3"/>
        <v>1225.9722222222222</v>
      </c>
      <c r="G51" s="44">
        <f t="shared" si="4"/>
        <v>1405.0027303176503</v>
      </c>
      <c r="H51" s="69">
        <v>0.99639999999999995</v>
      </c>
      <c r="J51" s="9" t="s">
        <v>9</v>
      </c>
      <c r="K51" s="10">
        <f>SUMPRODUCT(F46:F57,H46:H57)</f>
        <v>16875.35261361111</v>
      </c>
      <c r="L51" s="11"/>
      <c r="M51" s="11" t="s">
        <v>10</v>
      </c>
      <c r="N51" s="12">
        <f>SUMPRODUCT(G46:G57,H46:H57)</f>
        <v>16802.373613302228</v>
      </c>
    </row>
    <row r="52" spans="3:14" x14ac:dyDescent="0.2">
      <c r="C52" s="41">
        <v>44543</v>
      </c>
      <c r="D52" s="42">
        <v>7</v>
      </c>
      <c r="E52" s="43">
        <v>0.5141</v>
      </c>
      <c r="F52" s="44">
        <f t="shared" si="3"/>
        <v>1299.5305555555556</v>
      </c>
      <c r="G52" s="44">
        <f t="shared" si="4"/>
        <v>1405.0027303176503</v>
      </c>
      <c r="H52" s="69">
        <v>0.99529999999999996</v>
      </c>
    </row>
    <row r="53" spans="3:14" x14ac:dyDescent="0.2">
      <c r="C53" s="41">
        <v>44634</v>
      </c>
      <c r="D53" s="42">
        <v>8</v>
      </c>
      <c r="E53" s="43">
        <v>0.55510000000000004</v>
      </c>
      <c r="F53" s="44">
        <f t="shared" si="3"/>
        <v>1403.1694444444445</v>
      </c>
      <c r="G53" s="44">
        <f t="shared" si="4"/>
        <v>1405.0027303176503</v>
      </c>
      <c r="H53" s="69">
        <v>0.99470000000000003</v>
      </c>
      <c r="J53" s="68" t="s">
        <v>11</v>
      </c>
      <c r="K53" s="71">
        <f>K51-N51</f>
        <v>72.97900030888195</v>
      </c>
    </row>
    <row r="54" spans="3:14" x14ac:dyDescent="0.2">
      <c r="C54" s="41">
        <v>44726</v>
      </c>
      <c r="D54" s="42">
        <v>9</v>
      </c>
      <c r="E54" s="43">
        <v>0.58620000000000005</v>
      </c>
      <c r="F54" s="44">
        <f t="shared" si="3"/>
        <v>1498.0666666666668</v>
      </c>
      <c r="G54" s="44">
        <f t="shared" si="4"/>
        <v>1420.4423207607015</v>
      </c>
      <c r="H54" s="69">
        <v>0.99429999999999996</v>
      </c>
      <c r="J54" s="68" t="s">
        <v>34</v>
      </c>
      <c r="K54" s="71">
        <f>K53-K38</f>
        <v>-7.8228064511422417</v>
      </c>
    </row>
    <row r="55" spans="3:14" x14ac:dyDescent="0.2">
      <c r="C55" s="41">
        <v>44816</v>
      </c>
      <c r="D55" s="42">
        <v>10</v>
      </c>
      <c r="E55" s="43">
        <v>0.63280000000000003</v>
      </c>
      <c r="F55" s="44">
        <f t="shared" si="3"/>
        <v>1582</v>
      </c>
      <c r="G55" s="44">
        <f t="shared" si="4"/>
        <v>1389.5631398745993</v>
      </c>
      <c r="H55" s="69">
        <v>0.99319999999999997</v>
      </c>
    </row>
    <row r="56" spans="3:14" x14ac:dyDescent="0.2">
      <c r="C56" s="41">
        <v>44909</v>
      </c>
      <c r="D56" s="42">
        <v>11</v>
      </c>
      <c r="E56" s="43">
        <v>0.44319999999999998</v>
      </c>
      <c r="F56" s="44">
        <f t="shared" si="3"/>
        <v>1144.9333333333334</v>
      </c>
      <c r="G56" s="44">
        <f t="shared" si="4"/>
        <v>1435.8819112037527</v>
      </c>
      <c r="H56" s="69">
        <v>0.99239999999999995</v>
      </c>
    </row>
    <row r="57" spans="3:14" x14ac:dyDescent="0.2">
      <c r="C57" s="47">
        <v>44997</v>
      </c>
      <c r="D57" s="48">
        <v>12</v>
      </c>
      <c r="E57" s="49">
        <v>0.59850000000000003</v>
      </c>
      <c r="F57" s="44">
        <f t="shared" si="3"/>
        <v>1463</v>
      </c>
      <c r="G57" s="44">
        <f t="shared" si="4"/>
        <v>1358.6839589884971</v>
      </c>
      <c r="H57" s="70">
        <v>0.9919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4"/>
  <sheetViews>
    <sheetView workbookViewId="0">
      <selection activeCell="F2" sqref="F2"/>
    </sheetView>
  </sheetViews>
  <sheetFormatPr defaultRowHeight="24.95" customHeight="1" x14ac:dyDescent="0.2"/>
  <cols>
    <col min="1" max="1" width="16.125" customWidth="1"/>
    <col min="2" max="2" width="17.25" customWidth="1"/>
    <col min="3" max="3" width="16.125" customWidth="1"/>
    <col min="4" max="4" width="19" customWidth="1"/>
  </cols>
  <sheetData>
    <row r="1" spans="1:5" ht="24.95" customHeight="1" x14ac:dyDescent="0.2">
      <c r="A1" s="34" t="s">
        <v>35</v>
      </c>
      <c r="B1" s="35" t="s">
        <v>12</v>
      </c>
      <c r="C1" s="35" t="s">
        <v>13</v>
      </c>
      <c r="D1" s="36" t="s">
        <v>16</v>
      </c>
      <c r="E1" s="66" t="s">
        <v>36</v>
      </c>
    </row>
    <row r="2" spans="1:5" ht="24.95" customHeight="1" x14ac:dyDescent="0.2">
      <c r="A2" s="39">
        <v>43902</v>
      </c>
      <c r="B2" s="26"/>
      <c r="C2" s="26"/>
      <c r="D2" s="27"/>
    </row>
    <row r="3" spans="1:5" ht="24.95" customHeight="1" x14ac:dyDescent="0.2">
      <c r="A3" s="41">
        <v>43994</v>
      </c>
      <c r="B3" s="42">
        <v>1</v>
      </c>
      <c r="C3" s="43">
        <v>0.78410000000000002</v>
      </c>
      <c r="D3" s="21">
        <v>0.99890000000000001</v>
      </c>
    </row>
    <row r="4" spans="1:5" ht="24.95" customHeight="1" x14ac:dyDescent="0.2">
      <c r="A4" s="41">
        <v>44088</v>
      </c>
      <c r="B4" s="42">
        <v>2</v>
      </c>
      <c r="C4" s="43">
        <v>0.48199999999999998</v>
      </c>
      <c r="D4" s="21">
        <v>0.99839999999999995</v>
      </c>
    </row>
    <row r="5" spans="1:5" ht="24.95" customHeight="1" x14ac:dyDescent="0.2">
      <c r="A5" s="41">
        <v>44179</v>
      </c>
      <c r="B5" s="42">
        <v>3</v>
      </c>
      <c r="C5" s="43">
        <v>0.44290000000000002</v>
      </c>
      <c r="D5" s="21">
        <v>0.998</v>
      </c>
    </row>
    <row r="6" spans="1:5" ht="24.95" customHeight="1" x14ac:dyDescent="0.2">
      <c r="A6" s="41">
        <v>44267</v>
      </c>
      <c r="B6" s="42">
        <v>3</v>
      </c>
      <c r="C6" s="43">
        <v>0.47349999999999998</v>
      </c>
      <c r="D6" s="21">
        <v>0.99760000000000004</v>
      </c>
    </row>
    <row r="7" spans="1:5" ht="24.95" customHeight="1" x14ac:dyDescent="0.2">
      <c r="A7" s="41">
        <v>44361</v>
      </c>
      <c r="B7" s="42">
        <v>5</v>
      </c>
      <c r="C7" s="43">
        <v>0.44369999999999998</v>
      </c>
      <c r="D7" s="21">
        <v>0.99690000000000001</v>
      </c>
    </row>
    <row r="8" spans="1:5" ht="24.95" customHeight="1" x14ac:dyDescent="0.2">
      <c r="A8" s="41">
        <v>44452</v>
      </c>
      <c r="B8" s="42">
        <v>6</v>
      </c>
      <c r="C8" s="43">
        <v>0.48459999999999998</v>
      </c>
      <c r="D8" s="21">
        <v>0.99629999999999996</v>
      </c>
    </row>
    <row r="9" spans="1:5" ht="24.95" customHeight="1" x14ac:dyDescent="0.2">
      <c r="A9" s="41">
        <v>44543</v>
      </c>
      <c r="B9" s="42">
        <v>7</v>
      </c>
      <c r="C9" s="43">
        <v>0.51380000000000003</v>
      </c>
      <c r="D9" s="21">
        <v>0.99550000000000005</v>
      </c>
    </row>
    <row r="10" spans="1:5" ht="24.95" customHeight="1" x14ac:dyDescent="0.2">
      <c r="A10" s="41">
        <v>44634</v>
      </c>
      <c r="B10" s="42">
        <v>8</v>
      </c>
      <c r="C10" s="43">
        <v>0.55500000000000005</v>
      </c>
      <c r="D10" s="21">
        <v>0.99480000000000002</v>
      </c>
    </row>
    <row r="11" spans="1:5" ht="24.95" customHeight="1" x14ac:dyDescent="0.2">
      <c r="A11" s="41">
        <v>44725</v>
      </c>
      <c r="B11" s="42">
        <v>9</v>
      </c>
      <c r="C11" s="43">
        <v>0.58560000000000001</v>
      </c>
      <c r="D11" s="21">
        <v>0.99380000000000002</v>
      </c>
    </row>
    <row r="12" spans="1:5" ht="24.95" customHeight="1" x14ac:dyDescent="0.2">
      <c r="A12" s="41">
        <v>44816</v>
      </c>
      <c r="B12" s="42">
        <v>10</v>
      </c>
      <c r="C12" s="43">
        <v>0.63290000000000002</v>
      </c>
      <c r="D12" s="21">
        <v>0.99280000000000002</v>
      </c>
    </row>
    <row r="13" spans="1:5" ht="24.95" customHeight="1" x14ac:dyDescent="0.2">
      <c r="A13" s="41">
        <v>44909</v>
      </c>
      <c r="B13" s="42">
        <v>11</v>
      </c>
      <c r="C13" s="43">
        <v>0.67420000000000002</v>
      </c>
      <c r="D13" s="21">
        <v>0.9919</v>
      </c>
    </row>
    <row r="14" spans="1:5" ht="24.95" customHeight="1" x14ac:dyDescent="0.2">
      <c r="A14" s="47">
        <v>44997</v>
      </c>
      <c r="B14" s="48">
        <v>12</v>
      </c>
      <c r="C14" s="49">
        <v>0.59860000000000002</v>
      </c>
      <c r="D14" s="51">
        <v>0.99080000000000001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IRS Swap</vt:lpstr>
      <vt:lpstr>fixed rate</vt:lpstr>
      <vt:lpstr>Interest rate risk</vt:lpstr>
      <vt:lpstr>PnL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Christine</dc:creator>
  <cp:lastModifiedBy>周健</cp:lastModifiedBy>
  <dcterms:created xsi:type="dcterms:W3CDTF">2020-07-04T14:19:27Z</dcterms:created>
  <dcterms:modified xsi:type="dcterms:W3CDTF">2020-07-17T11:44:10Z</dcterms:modified>
</cp:coreProperties>
</file>